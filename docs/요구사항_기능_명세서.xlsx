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 안내" sheetId="1" state="visible" r:id="rId3"/>
    <sheet name="요구사항 명세서" sheetId="2" state="visible" r:id="rId4"/>
    <sheet name="기능 명세서" sheetId="3" state="visible" r:id="rId5"/>
  </sheets>
  <definedNames>
    <definedName function="false" hidden="true" localSheetId="1" name="_xlnm._FilterDatabase" vbProcedure="false">'요구사항 명세서'!$B$2:$J$203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<sst xmlns="http://schemas.openxmlformats.org/spreadsheetml/2006/main" count="1849" uniqueCount="1203">
  <si>
    <r>
      <rPr>
        <b val="true"/>
        <sz val="13"/>
        <color rgb="FFFFFFFF"/>
        <rFont val="Noto Sans CJK SC"/>
        <family val="2"/>
      </rPr>
      <t xml:space="preserve">관광데이터랩 공모전 — 요구사항 </t>
    </r>
    <r>
      <rPr>
        <b val="true"/>
        <sz val="13"/>
        <color rgb="FFFFFFFF"/>
        <rFont val="맑은 고딕"/>
        <family val="0"/>
        <charset val="1"/>
      </rPr>
      <t xml:space="preserve">· </t>
    </r>
    <r>
      <rPr>
        <b val="true"/>
        <sz val="13"/>
        <color rgb="FFFFFFFF"/>
        <rFont val="Noto Sans CJK SC"/>
        <family val="2"/>
      </rPr>
      <t xml:space="preserve">기능 명세서</t>
    </r>
  </si>
  <si>
    <t xml:space="preserve">구분</t>
  </si>
  <si>
    <t xml:space="preserve">항목</t>
  </si>
  <si>
    <t xml:space="preserve">설명</t>
  </si>
  <si>
    <t xml:space="preserve">시트 구성</t>
  </si>
  <si>
    <t xml:space="preserve">요구사항 명세서</t>
  </si>
  <si>
    <r>
      <rPr>
        <sz val="10"/>
        <color rgb="FF000000"/>
        <rFont val="Noto Sans CJK SC"/>
        <family val="2"/>
      </rPr>
      <t xml:space="preserve">무엇을 만들 것인가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기능 단위로 쪼갠 요구사항 목록</t>
    </r>
  </si>
  <si>
    <t xml:space="preserve">기능 명세서</t>
  </si>
  <si>
    <r>
      <rPr>
        <sz val="10"/>
        <color rgb="FF000000"/>
        <rFont val="Noto Sans CJK SC"/>
        <family val="2"/>
      </rPr>
      <t xml:space="preserve">어느 화면에서 어떻게 동작하는가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페이지 흐름 기준</t>
    </r>
  </si>
  <si>
    <t xml:space="preserve">아이디 규칙</t>
  </si>
  <si>
    <t xml:space="preserve">AUTH / USER / SOC</t>
  </si>
  <si>
    <r>
      <rPr>
        <sz val="10"/>
        <color rgb="FF000000"/>
        <rFont val="Noto Sans CJK SC"/>
        <family val="2"/>
      </rPr>
      <t xml:space="preserve">인증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권한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사용자 정보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계정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팔로우</t>
    </r>
  </si>
  <si>
    <t xml:space="preserve">PLC / PST / CMU</t>
  </si>
  <si>
    <r>
      <rPr>
        <sz val="10"/>
        <color rgb="FF000000"/>
        <rFont val="Noto Sans CJK SC"/>
        <family val="2"/>
      </rPr>
      <t xml:space="preserve">장소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게시물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커뮤니티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댓글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태그</t>
    </r>
  </si>
  <si>
    <t xml:space="preserve">MAP / VST / NTF</t>
  </si>
  <si>
    <r>
      <rPr>
        <sz val="10"/>
        <color rgb="FF000000"/>
        <rFont val="Noto Sans CJK SC"/>
        <family val="2"/>
      </rPr>
      <t xml:space="preserve">지도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히트맵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주변탐색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방문 기록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알림</t>
    </r>
  </si>
  <si>
    <t xml:space="preserve">RNK / SCH / SYS</t>
  </si>
  <si>
    <r>
      <rPr>
        <sz val="10"/>
        <color rgb="FF000000"/>
        <rFont val="Noto Sans CJK SC"/>
        <family val="2"/>
      </rPr>
      <t xml:space="preserve">랭킹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추천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검색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공통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운영</t>
    </r>
  </si>
  <si>
    <t xml:space="preserve">사용자 유형</t>
  </si>
  <si>
    <t xml:space="preserve">회원</t>
  </si>
  <si>
    <t xml:space="preserve">로그인한 사용자만 사용 가능</t>
  </si>
  <si>
    <t xml:space="preserve">비회원</t>
  </si>
  <si>
    <t xml:space="preserve">로그인 없이 사용 가능</t>
  </si>
  <si>
    <r>
      <rPr>
        <sz val="10"/>
        <color rgb="FF000000"/>
        <rFont val="Noto Sans CJK SC"/>
        <family val="2"/>
      </rPr>
      <t xml:space="preserve">회원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비회원</t>
    </r>
  </si>
  <si>
    <t xml:space="preserve">둘 다 가능하되 로그인 시 개인화 정보가 추가됨</t>
  </si>
  <si>
    <t xml:space="preserve">관리자</t>
  </si>
  <si>
    <t xml:space="preserve">운영자 전용</t>
  </si>
  <si>
    <t xml:space="preserve">시스템</t>
  </si>
  <si>
    <r>
      <rPr>
        <sz val="10"/>
        <color rgb="FF000000"/>
        <rFont val="Noto Sans CJK SC"/>
        <family val="2"/>
      </rPr>
      <t xml:space="preserve">사용자 조작 없이 서버가 자동 수행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배치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검증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판정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</si>
  <si>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중요도</t>
  </si>
  <si>
    <t xml:space="preserve">Must</t>
  </si>
  <si>
    <r>
      <rPr>
        <sz val="10"/>
        <color rgb="FF000000"/>
        <rFont val="Noto Sans CJK SC"/>
        <family val="2"/>
      </rPr>
      <t xml:space="preserve">없으면 서비스가 성립하지 않음 —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구현</t>
    </r>
  </si>
  <si>
    <t xml:space="preserve">Should</t>
  </si>
  <si>
    <r>
      <rPr>
        <sz val="10"/>
        <color rgb="FF000000"/>
        <rFont val="Noto Sans CJK SC"/>
        <family val="2"/>
      </rPr>
      <t xml:space="preserve">있어야 완성도가 나오지만 없어도 동작함 —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순위</t>
    </r>
  </si>
  <si>
    <t xml:space="preserve">Could</t>
  </si>
  <si>
    <r>
      <rPr>
        <sz val="10"/>
        <color rgb="FF000000"/>
        <rFont val="Noto Sans CJK SC"/>
        <family val="2"/>
      </rPr>
      <t xml:space="preserve">여유가 있으면 구현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순위</t>
    </r>
  </si>
  <si>
    <t xml:space="preserve">난이도</t>
  </si>
  <si>
    <r>
      <rPr>
        <sz val="10"/>
        <color rgb="FF000000"/>
        <rFont val="Noto Sans CJK SC"/>
        <family val="2"/>
      </rPr>
      <t xml:space="preserve">상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중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하</t>
    </r>
  </si>
  <si>
    <r>
      <rPr>
        <sz val="10"/>
        <color rgb="FF000000"/>
        <rFont val="Noto Sans CJK SC"/>
        <family val="2"/>
      </rPr>
      <t xml:space="preserve">구현 공수와 리스크 기준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상은 별도 검증 시간 필요</t>
    </r>
  </si>
  <si>
    <t xml:space="preserve">직접 채울 곳</t>
  </si>
  <si>
    <r>
      <rPr>
        <sz val="10"/>
        <color rgb="FF000000"/>
        <rFont val="Noto Sans CJK SC"/>
        <family val="2"/>
      </rPr>
      <t xml:space="preserve">요구사항 명세서 </t>
    </r>
    <r>
      <rPr>
        <sz val="10"/>
        <color rgb="FF000000"/>
        <rFont val="맑은 고딕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열</t>
    </r>
  </si>
  <si>
    <r>
      <rPr>
        <sz val="10"/>
        <color rgb="FF000000"/>
        <rFont val="Noto Sans CJK SC"/>
        <family val="2"/>
      </rPr>
      <t xml:space="preserve">비고에 담당자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일정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추가 논의를 적어 사용</t>
    </r>
  </si>
  <si>
    <r>
      <rPr>
        <sz val="10"/>
        <color rgb="FF000000"/>
        <rFont val="Noto Sans CJK SC"/>
        <family val="2"/>
      </rPr>
      <t xml:space="preserve">기능 명세서 </t>
    </r>
    <r>
      <rPr>
        <sz val="10"/>
        <color rgb="FF000000"/>
        <rFont val="맑은 고딕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열</t>
    </r>
  </si>
  <si>
    <r>
      <rPr>
        <sz val="10"/>
        <color rgb="FF000000"/>
        <rFont val="Noto Sans CJK SC"/>
        <family val="2"/>
      </rPr>
      <t xml:space="preserve">빨간 글씨로 표시된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논의사항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은 팀 확정이 필요한 항목</t>
    </r>
  </si>
  <si>
    <t xml:space="preserve">드롭다운</t>
  </si>
  <si>
    <r>
      <rPr>
        <sz val="10"/>
        <color rgb="FF000000"/>
        <rFont val="Noto Sans CJK SC"/>
        <family val="2"/>
      </rPr>
      <t xml:space="preserve">사용자 유형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중요도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난이도는 목록에서 선택하도록 설정되어 있음</t>
    </r>
  </si>
  <si>
    <t xml:space="preserve">변경 표시</t>
  </si>
  <si>
    <t xml:space="preserve">아이디 셀 연두색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</si>
  <si>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신규</t>
    </r>
    <r>
      <rPr>
        <sz val="10"/>
        <color rgb="FF000000"/>
        <rFont val="맑은 고딕"/>
        <family val="0"/>
        <charset val="1"/>
      </rPr>
      <t xml:space="preserve">] — </t>
    </r>
    <r>
      <rPr>
        <sz val="10"/>
        <color rgb="FF000000"/>
        <rFont val="Noto Sans CJK SC"/>
        <family val="2"/>
      </rPr>
      <t xml:space="preserve">프론트 화면 변경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내비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실시간 지도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업로드 흐름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인기 사진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으로 새로 추가된 요구사항</t>
    </r>
  </si>
  <si>
    <t xml:space="preserve">아이디 셀 노란색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</si>
  <si>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수정</t>
    </r>
    <r>
      <rPr>
        <sz val="10"/>
        <color rgb="FF000000"/>
        <rFont val="맑은 고딕"/>
        <family val="0"/>
        <charset val="1"/>
      </rPr>
      <t xml:space="preserve">] — </t>
    </r>
    <r>
      <rPr>
        <sz val="10"/>
        <color rgb="FF000000"/>
        <rFont val="Noto Sans CJK SC"/>
        <family val="2"/>
      </rPr>
      <t xml:space="preserve">기존 요구사항의 내용이 바뀐 항목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비고 열에 무엇이 바뀌었는지 적혀 있음</t>
    </r>
  </si>
  <si>
    <t xml:space="preserve">아이디 셀 하늘색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</si>
  <si>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] — </t>
    </r>
    <r>
      <rPr>
        <sz val="10"/>
        <color rgb="FF000000"/>
        <rFont val="Noto Sans CJK SC"/>
        <family val="2"/>
      </rPr>
      <t xml:space="preserve">논의사항이 결론난 항목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비고에 결정 내용과 근거가 적혀 있음</t>
    </r>
  </si>
  <si>
    <t xml:space="preserve">기능 명세서 빨간 비고</t>
  </si>
  <si>
    <t xml:space="preserve">팀 확정이 필요한 논의사항</t>
  </si>
  <si>
    <t xml:space="preserve">집계</t>
  </si>
  <si>
    <t xml:space="preserve">전체 요구사항 수</t>
  </si>
  <si>
    <r>
      <rPr>
        <b val="true"/>
        <sz val="10"/>
        <rFont val="맑은 고딕"/>
        <family val="0"/>
        <charset val="1"/>
      </rPr>
      <t xml:space="preserve">Must </t>
    </r>
    <r>
      <rPr>
        <b val="true"/>
        <sz val="10"/>
        <rFont val="Noto Sans CJK SC"/>
        <family val="2"/>
      </rPr>
      <t xml:space="preserve">요구사항 수</t>
    </r>
  </si>
  <si>
    <r>
      <rPr>
        <b val="true"/>
        <sz val="10"/>
        <rFont val="맑은 고딕"/>
        <family val="0"/>
        <charset val="1"/>
      </rPr>
      <t xml:space="preserve">Should </t>
    </r>
    <r>
      <rPr>
        <b val="true"/>
        <sz val="10"/>
        <rFont val="Noto Sans CJK SC"/>
        <family val="2"/>
      </rPr>
      <t xml:space="preserve">요구사항 수</t>
    </r>
  </si>
  <si>
    <r>
      <rPr>
        <b val="true"/>
        <sz val="10"/>
        <rFont val="맑은 고딕"/>
        <family val="0"/>
        <charset val="1"/>
      </rPr>
      <t xml:space="preserve">Could </t>
    </r>
    <r>
      <rPr>
        <b val="true"/>
        <sz val="10"/>
        <rFont val="Noto Sans CJK SC"/>
        <family val="2"/>
      </rPr>
      <t xml:space="preserve">요구사항 수</t>
    </r>
  </si>
  <si>
    <r>
      <rPr>
        <b val="true"/>
        <sz val="10"/>
        <rFont val="Noto Sans CJK SC"/>
        <family val="2"/>
      </rPr>
      <t xml:space="preserve">난이도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상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Noto Sans CJK SC"/>
        <family val="2"/>
      </rPr>
      <t xml:space="preserve">요구사항 수</t>
    </r>
  </si>
  <si>
    <t xml:space="preserve">기능 명세 항목 수</t>
  </si>
  <si>
    <r>
      <rPr>
        <b val="true"/>
        <sz val="10"/>
        <rFont val="Noto Sans CJK SC"/>
        <family val="2"/>
      </rPr>
      <t xml:space="preserve">프론트 변경 반영 </t>
    </r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맑은 고딕"/>
        <family val="0"/>
        <charset val="1"/>
      </rPr>
      <t xml:space="preserve">]</t>
    </r>
  </si>
  <si>
    <r>
      <rPr>
        <b val="true"/>
        <sz val="10"/>
        <rFont val="Noto Sans CJK SC"/>
        <family val="2"/>
      </rPr>
      <t xml:space="preserve">프론트 변경 반영 </t>
    </r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수정</t>
    </r>
    <r>
      <rPr>
        <b val="true"/>
        <sz val="10"/>
        <rFont val="맑은 고딕"/>
        <family val="0"/>
        <charset val="1"/>
      </rPr>
      <t xml:space="preserve">]</t>
    </r>
  </si>
  <si>
    <r>
      <rPr>
        <b val="true"/>
        <sz val="10"/>
        <rFont val="Noto Sans CJK SC"/>
        <family val="2"/>
      </rPr>
      <t xml:space="preserve">논의 결론 반영 </t>
    </r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확정</t>
    </r>
    <r>
      <rPr>
        <b val="true"/>
        <sz val="10"/>
        <rFont val="맑은 고딕"/>
        <family val="0"/>
        <charset val="1"/>
      </rPr>
      <t xml:space="preserve">]</t>
    </r>
  </si>
  <si>
    <t xml:space="preserve">작성 기준</t>
  </si>
  <si>
    <r>
      <rPr>
        <sz val="9"/>
        <color rgb="FF595959"/>
        <rFont val="Noto Sans CJK SC"/>
        <family val="2"/>
      </rPr>
      <t xml:space="preserve">관광데이터랩 공모전 백엔드 설계 </t>
    </r>
    <r>
      <rPr>
        <sz val="9"/>
        <color rgb="FF595959"/>
        <rFont val="맑은 고딕"/>
        <family val="0"/>
        <charset val="1"/>
      </rPr>
      <t xml:space="preserve">v2 (</t>
    </r>
    <r>
      <rPr>
        <sz val="9"/>
        <color rgb="FF595959"/>
        <rFont val="Noto Sans CJK SC"/>
        <family val="2"/>
      </rPr>
      <t xml:space="preserve">기능명세서</t>
    </r>
    <r>
      <rPr>
        <sz val="9"/>
        <color rgb="FF595959"/>
        <rFont val="맑은 고딕"/>
        <family val="0"/>
        <charset val="1"/>
      </rPr>
      <t xml:space="preserve">·ERD·API</t>
    </r>
    <r>
      <rPr>
        <sz val="9"/>
        <color rgb="FF595959"/>
        <rFont val="Noto Sans CJK SC"/>
        <family val="2"/>
      </rPr>
      <t xml:space="preserve">명세서 기준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출처 문서와 기능 </t>
    </r>
    <r>
      <rPr>
        <sz val="9"/>
        <color rgb="FF595959"/>
        <rFont val="맑은 고딕"/>
        <family val="0"/>
        <charset val="1"/>
      </rPr>
      <t xml:space="preserve">ID(F-01 </t>
    </r>
    <r>
      <rPr>
        <sz val="9"/>
        <color rgb="FF595959"/>
        <rFont val="Noto Sans CJK SC"/>
        <family val="2"/>
      </rPr>
      <t xml:space="preserve">등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요구사항 명세서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비고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열에 표기함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</si>
  <si>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요구사항 아이디</t>
  </si>
  <si>
    <t xml:space="preserve">요구사항명</t>
  </si>
  <si>
    <t xml:space="preserve">상세 요구사항 내용</t>
  </si>
  <si>
    <t xml:space="preserve">비고</t>
  </si>
  <si>
    <t xml:space="preserve">대분류</t>
  </si>
  <si>
    <t xml:space="preserve">소분류</t>
  </si>
  <si>
    <t xml:space="preserve">기능 이름</t>
  </si>
  <si>
    <t xml:space="preserve">AUTH-001</t>
  </si>
  <si>
    <t xml:space="preserve">인증 및 권한 관리</t>
  </si>
  <si>
    <t xml:space="preserve">소셜 로그인</t>
  </si>
  <si>
    <t xml:space="preserve">구글 로그인</t>
  </si>
  <si>
    <r>
      <rPr>
        <sz val="10"/>
        <rFont val="Noto Sans CJK SC"/>
        <family val="2"/>
      </rPr>
      <t xml:space="preserve">구글 계정으로 로그인한다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로그인 성공 시 액세스 토큰과 리프레시 토큰을 발급받는다</t>
    </r>
    <r>
      <rPr>
        <sz val="10"/>
        <rFont val="맑은 고딕"/>
        <family val="0"/>
        <charset val="1"/>
      </rPr>
      <t xml:space="preserve">.</t>
    </r>
  </si>
  <si>
    <t xml:space="preserve">상</t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</si>
  <si>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확정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구글 로그인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아이디</t>
    </r>
    <r>
      <rPr>
        <b val="true"/>
        <sz val="9"/>
        <color rgb="FFC00000"/>
        <rFont val="맑은 고딕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비밀번호 로그인</t>
    </r>
    <r>
      <rPr>
        <b val="true"/>
        <sz val="9"/>
        <color rgb="FFC00000"/>
        <rFont val="맑은 고딕"/>
        <family val="0"/>
        <charset val="1"/>
      </rPr>
      <t xml:space="preserve">(AUTH-012~)</t>
    </r>
    <r>
      <rPr>
        <b val="true"/>
        <sz val="9"/>
        <color rgb="FFC00000"/>
        <rFont val="Noto Sans CJK SC"/>
        <family val="2"/>
      </rPr>
      <t xml:space="preserve">과 병행 제공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다른 소셜 제공자는 추가하지 않는다</t>
    </r>
  </si>
  <si>
    <t xml:space="preserve">AUTH-002</t>
  </si>
  <si>
    <t xml:space="preserve">구글 회원가입</t>
  </si>
  <si>
    <r>
      <rPr>
        <sz val="10"/>
        <rFont val="Noto Sans CJK SC"/>
        <family val="2"/>
      </rPr>
      <t xml:space="preserve">최초 로그인 시 구글 프로필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회원을 자동 생성한다</t>
    </r>
    <r>
      <rPr>
        <sz val="10"/>
        <rFont val="맑은 고딕"/>
        <family val="0"/>
        <charset val="1"/>
      </rPr>
      <t xml:space="preserve">.</t>
    </r>
  </si>
  <si>
    <t xml:space="preserve">중</t>
  </si>
  <si>
    <r>
      <rPr>
        <sz val="9"/>
        <color rgb="FF595959"/>
        <rFont val="맑은 고딕"/>
        <family val="0"/>
        <charset val="1"/>
      </rPr>
      <t xml:space="preserve">F-01-01 / </t>
    </r>
    <r>
      <rPr>
        <sz val="9"/>
        <color rgb="FF595959"/>
        <rFont val="Noto Sans CJK SC"/>
        <family val="2"/>
      </rPr>
      <t xml:space="preserve">별도 가입 화면 없음</t>
    </r>
  </si>
  <si>
    <t xml:space="preserve">AUTH-003</t>
  </si>
  <si>
    <r>
      <rPr>
        <sz val="10"/>
        <rFont val="맑은 고딕"/>
        <family val="0"/>
        <charset val="1"/>
      </rPr>
      <t xml:space="preserve">ID Token </t>
    </r>
    <r>
      <rPr>
        <sz val="10"/>
        <rFont val="Noto Sans CJK SC"/>
        <family val="2"/>
      </rPr>
      <t xml:space="preserve">검증</t>
    </r>
  </si>
  <si>
    <r>
      <rPr>
        <sz val="10"/>
        <rFont val="Noto Sans CJK SC"/>
        <family val="2"/>
      </rPr>
      <t xml:space="preserve">구글 공개키로 서명을 검증하고 </t>
    </r>
    <r>
      <rPr>
        <sz val="10"/>
        <rFont val="맑은 고딕"/>
        <family val="0"/>
        <charset val="1"/>
      </rPr>
      <t xml:space="preserve">exp·iss·aud</t>
    </r>
    <r>
      <rPr>
        <sz val="10"/>
        <rFont val="Noto Sans CJK SC"/>
        <family val="2"/>
      </rPr>
      <t xml:space="preserve">를 함께 확인한다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</si>
  <si>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aud(</t>
    </r>
    <r>
      <rPr>
        <sz val="9"/>
        <color rgb="FF595959"/>
        <rFont val="Noto Sans CJK SC"/>
        <family val="2"/>
      </rPr>
      <t xml:space="preserve">클라이언트 </t>
    </r>
    <r>
      <rPr>
        <sz val="9"/>
        <color rgb="FF595959"/>
        <rFont val="맑은 고딕"/>
        <family val="0"/>
        <charset val="1"/>
      </rPr>
      <t xml:space="preserve">ID) </t>
    </r>
    <r>
      <rPr>
        <sz val="9"/>
        <color rgb="FF595959"/>
        <rFont val="Noto Sans CJK SC"/>
        <family val="2"/>
      </rPr>
      <t xml:space="preserve">검증 누락 시 타 앱 토큰으로 로그인 가능 — 보안 필수</t>
    </r>
  </si>
  <si>
    <t xml:space="preserve">AUTH-004</t>
  </si>
  <si>
    <t xml:space="preserve">세션 관리</t>
  </si>
  <si>
    <t xml:space="preserve">로그아웃</t>
  </si>
  <si>
    <r>
      <rPr>
        <sz val="10"/>
        <rFont val="Noto Sans CJK SC"/>
        <family val="2"/>
      </rPr>
      <t xml:space="preserve">로그아웃 시 해당 기기의 리프레시 토큰을 폐기하고 </t>
    </r>
    <r>
      <rPr>
        <sz val="10"/>
        <rFont val="맑은 고딕"/>
        <family val="0"/>
        <charset val="1"/>
      </rPr>
      <t xml:space="preserve">FCM </t>
    </r>
    <r>
      <rPr>
        <sz val="10"/>
        <rFont val="Noto Sans CJK SC"/>
        <family val="2"/>
      </rPr>
      <t xml:space="preserve">토큰을 제거한다</t>
    </r>
    <r>
      <rPr>
        <sz val="10"/>
        <rFont val="맑은 고딕"/>
        <family val="0"/>
        <charset val="1"/>
      </rPr>
      <t xml:space="preserve">.</t>
    </r>
  </si>
  <si>
    <t xml:space="preserve">하</t>
  </si>
  <si>
    <t xml:space="preserve">F-01-04</t>
  </si>
  <si>
    <t xml:space="preserve">AUTH-005</t>
  </si>
  <si>
    <t xml:space="preserve">전체 기기 로그아웃</t>
  </si>
  <si>
    <r>
      <rPr>
        <sz val="10"/>
        <rFont val="Noto Sans CJK SC"/>
        <family val="2"/>
      </rPr>
      <t xml:space="preserve">사용자의 모든 리프레시 토큰을 폐기하여 전 기기 세션을 종료한다</t>
    </r>
    <r>
      <rPr>
        <sz val="10"/>
        <rFont val="맑은 고딕"/>
        <family val="0"/>
        <charset val="1"/>
      </rPr>
      <t xml:space="preserve">.</t>
    </r>
  </si>
  <si>
    <t xml:space="preserve">AUTH-006</t>
  </si>
  <si>
    <t xml:space="preserve">토큰 재발급</t>
  </si>
  <si>
    <r>
      <rPr>
        <sz val="10"/>
        <rFont val="Noto Sans CJK SC"/>
        <family val="2"/>
      </rPr>
      <t xml:space="preserve">액세스 토큰이 만료되면 리프레시 토큰으로 새 토큰을 발급받는다</t>
    </r>
    <r>
      <rPr>
        <sz val="10"/>
        <rFont val="맑은 고딕"/>
        <family val="0"/>
        <charset val="1"/>
      </rPr>
      <t xml:space="preserve">.</t>
    </r>
  </si>
  <si>
    <t xml:space="preserve">F-01-03</t>
  </si>
  <si>
    <t xml:space="preserve">AUTH-007</t>
  </si>
  <si>
    <t xml:space="preserve">리프레시 토큰 회전</t>
  </si>
  <si>
    <r>
      <rPr>
        <sz val="10"/>
        <rFont val="Noto Sans CJK SC"/>
        <family val="2"/>
      </rPr>
      <t xml:space="preserve">리프레시 토큰은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회용이며 사용 즉시 폐기하고 새 토큰을 발급한다</t>
    </r>
    <r>
      <rPr>
        <sz val="10"/>
        <rFont val="맑은 고딕"/>
        <family val="0"/>
        <charset val="1"/>
      </rPr>
      <t xml:space="preserve">.</t>
    </r>
  </si>
  <si>
    <t xml:space="preserve">재사용 감지 시 전체 토큰 무효화 — 탈취 신호</t>
  </si>
  <si>
    <t xml:space="preserve">AUTH-008</t>
  </si>
  <si>
    <t xml:space="preserve">토큰 해시 저장</t>
  </si>
  <si>
    <r>
      <rPr>
        <sz val="10"/>
        <rFont val="Noto Sans CJK SC"/>
        <family val="2"/>
      </rPr>
      <t xml:space="preserve">리프레시 토큰 원문 대신 </t>
    </r>
    <r>
      <rPr>
        <sz val="10"/>
        <rFont val="맑은 고딕"/>
        <family val="0"/>
        <charset val="1"/>
      </rPr>
      <t xml:space="preserve">SHA-256 </t>
    </r>
    <r>
      <rPr>
        <sz val="10"/>
        <rFont val="Noto Sans CJK SC"/>
        <family val="2"/>
      </rPr>
      <t xml:space="preserve">해시만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저장한다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</si>
  <si>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DB </t>
    </r>
    <r>
      <rPr>
        <sz val="9"/>
        <color rgb="FF595959"/>
        <rFont val="Noto Sans CJK SC"/>
        <family val="2"/>
      </rPr>
      <t xml:space="preserve">유출 시 피해 최소화</t>
    </r>
  </si>
  <si>
    <t xml:space="preserve">AUTH-009</t>
  </si>
  <si>
    <t xml:space="preserve">권한 제어</t>
  </si>
  <si>
    <t xml:space="preserve">비로그인 조회 허용</t>
  </si>
  <si>
    <r>
      <rPr>
        <sz val="10"/>
        <rFont val="Noto Sans CJK SC"/>
        <family val="2"/>
      </rPr>
      <t xml:space="preserve">비회원도 지도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랭킹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게시물 조회는 로그인 없이 이용할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</si>
  <si>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쓰기 동작에서만 로그인 요구 → </t>
    </r>
    <r>
      <rPr>
        <sz val="9"/>
        <color rgb="FF595959"/>
        <rFont val="맑은 고딕"/>
        <family val="0"/>
        <charset val="1"/>
      </rPr>
      <t xml:space="preserve">AUTH_005</t>
    </r>
  </si>
  <si>
    <t xml:space="preserve">AUTH-010</t>
  </si>
  <si>
    <t xml:space="preserve">작성자 권한 확인</t>
  </si>
  <si>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댓글의 수정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삭제는 작성자 본인만 수행할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</si>
  <si>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권한 없으면 </t>
    </r>
    <r>
      <rPr>
        <sz val="9"/>
        <color rgb="FF595959"/>
        <rFont val="맑은 고딕"/>
        <family val="0"/>
        <charset val="1"/>
      </rPr>
      <t xml:space="preserve">403</t>
    </r>
  </si>
  <si>
    <t xml:space="preserve">AUTH-011</t>
  </si>
  <si>
    <t xml:space="preserve">관리자 권한 확인</t>
  </si>
  <si>
    <r>
      <rPr>
        <sz val="10"/>
        <rFont val="Noto Sans CJK SC"/>
        <family val="2"/>
      </rPr>
      <t xml:space="preserve">관리자 전용 </t>
    </r>
    <r>
      <rPr>
        <sz val="10"/>
        <rFont val="맑은 고딕"/>
        <family val="0"/>
        <charset val="1"/>
      </rPr>
      <t xml:space="preserve">API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ADMIN </t>
    </r>
    <r>
      <rPr>
        <sz val="10"/>
        <rFont val="Noto Sans CJK SC"/>
        <family val="2"/>
      </rPr>
      <t xml:space="preserve">역할만 호출할 수 있다</t>
    </r>
    <r>
      <rPr>
        <sz val="10"/>
        <rFont val="맑은 고딕"/>
        <family val="0"/>
        <charset val="1"/>
      </rPr>
      <t xml:space="preserve">.</t>
    </r>
  </si>
  <si>
    <t xml:space="preserve">경로 단위 차단</t>
  </si>
  <si>
    <t xml:space="preserve">AUTH-012</t>
  </si>
  <si>
    <t xml:space="preserve">일반 로그인</t>
  </si>
  <si>
    <t xml:space="preserve">회원가입</t>
  </si>
  <si>
    <r>
      <rPr>
        <sz val="10"/>
        <rFont val="Noto Sans CJK SC"/>
        <family val="2"/>
      </rPr>
      <t xml:space="preserve">아이디와 비밀번호를 입력하여 회원가입을 수행한다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</si>
  <si>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비밀번호는 </t>
    </r>
    <r>
      <rPr>
        <b val="true"/>
        <sz val="9"/>
        <color rgb="FFC00000"/>
        <rFont val="맑은 고딕"/>
        <family val="0"/>
        <charset val="1"/>
      </rPr>
      <t xml:space="preserve">BCrypt </t>
    </r>
    <r>
      <rPr>
        <b val="true"/>
        <sz val="9"/>
        <color rgb="FFC00000"/>
        <rFont val="Noto Sans CJK SC"/>
        <family val="2"/>
      </rPr>
      <t xml:space="preserve">로 해싱해 저장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평문</t>
    </r>
    <r>
      <rPr>
        <b val="true"/>
        <sz val="9"/>
        <color rgb="FFC00000"/>
        <rFont val="맑은 고딕"/>
        <family val="0"/>
        <charset val="1"/>
      </rPr>
      <t xml:space="preserve">·SHA </t>
    </r>
    <r>
      <rPr>
        <b val="true"/>
        <sz val="9"/>
        <color rgb="FFC00000"/>
        <rFont val="Noto Sans CJK SC"/>
        <family val="2"/>
      </rPr>
      <t xml:space="preserve">계열 저장 금지</t>
    </r>
  </si>
  <si>
    <t xml:space="preserve">AUTH-013</t>
  </si>
  <si>
    <t xml:space="preserve">아이디 중복 확인</t>
  </si>
  <si>
    <r>
      <rPr>
        <sz val="10"/>
        <rFont val="Noto Sans CJK SC"/>
        <family val="2"/>
      </rPr>
      <t xml:space="preserve">입력한 아이디의 사용 가능 여부를 실시간으로 확인한다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</si>
  <si>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가입 완료 시점에 다시 한 번 검증해야 함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중복확인 후 선점되는 경합 상황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</si>
  <si>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t xml:space="preserve">AUTH-014</t>
  </si>
  <si>
    <t xml:space="preserve">비밀번호 정책 검증</t>
  </si>
  <si>
    <r>
      <rPr>
        <sz val="10"/>
        <rFont val="Noto Sans CJK SC"/>
        <family val="2"/>
      </rPr>
      <t xml:space="preserve">비밀번호 길이와 문자 조합 규칙을 검증하고 비밀번호 확인 입력과 일치하는지 확인한다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</si>
  <si>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8</t>
    </r>
    <r>
      <rPr>
        <b val="true"/>
        <sz val="9"/>
        <color rgb="FFC00000"/>
        <rFont val="Noto Sans CJK SC"/>
        <family val="2"/>
      </rPr>
      <t xml:space="preserve">자 이상 </t>
    </r>
    <r>
      <rPr>
        <b val="true"/>
        <sz val="9"/>
        <color rgb="FFC00000"/>
        <rFont val="맑은 고딕"/>
        <family val="0"/>
        <charset val="1"/>
      </rPr>
      <t xml:space="preserve">+ </t>
    </r>
    <r>
      <rPr>
        <b val="true"/>
        <sz val="9"/>
        <color rgb="FFC00000"/>
        <rFont val="Noto Sans CJK SC"/>
        <family val="2"/>
      </rPr>
      <t xml:space="preserve">영문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숫자 조합 권장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정책 확정 필요</t>
    </r>
  </si>
  <si>
    <t xml:space="preserve">AUTH-015</t>
  </si>
  <si>
    <r>
      <rPr>
        <b val="true"/>
        <sz val="10"/>
        <rFont val="Noto Sans CJK SC"/>
        <family val="2"/>
      </rPr>
      <t xml:space="preserve">아이디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비밀번호 로그인</t>
    </r>
  </si>
  <si>
    <r>
      <rPr>
        <sz val="10"/>
        <rFont val="Noto Sans CJK SC"/>
        <family val="2"/>
      </rPr>
      <t xml:space="preserve">아이디와 비밀번호로 로그인한다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성공 시 액세스 토큰과 리프레시 토큰을 발급받는다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</si>
  <si>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아이디 오류와 비밀번호 오류를 구분해 응답하지 않는다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계정 존재 여부 노출 방지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</si>
  <si>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t xml:space="preserve">AUTH-016</t>
  </si>
  <si>
    <t xml:space="preserve">로그인 시도 제한</t>
  </si>
  <si>
    <r>
      <rPr>
        <sz val="10"/>
        <rFont val="Noto Sans CJK SC"/>
        <family val="2"/>
      </rPr>
      <t xml:space="preserve">연속 로그인 실패가 누적되면 일정 시간 로그인을 차단한다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</si>
  <si>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무차별 대입 방어</t>
    </r>
    <r>
      <rPr>
        <b val="true"/>
        <sz val="9"/>
        <color rgb="FFC00000"/>
        <rFont val="맑은 고딕"/>
        <family val="0"/>
        <charset val="1"/>
      </rPr>
      <t xml:space="preserve">. 5</t>
    </r>
    <r>
      <rPr>
        <b val="true"/>
        <sz val="9"/>
        <color rgb="FFC00000"/>
        <rFont val="Noto Sans CJK SC"/>
        <family val="2"/>
      </rPr>
      <t xml:space="preserve">회 실패 시 </t>
    </r>
    <r>
      <rPr>
        <b val="true"/>
        <sz val="9"/>
        <color rgb="FFC00000"/>
        <rFont val="맑은 고딕"/>
        <family val="0"/>
        <charset val="1"/>
      </rPr>
      <t xml:space="preserve">5</t>
    </r>
    <r>
      <rPr>
        <b val="true"/>
        <sz val="9"/>
        <color rgb="FFC00000"/>
        <rFont val="Noto Sans CJK SC"/>
        <family val="2"/>
      </rPr>
      <t xml:space="preserve">분 차단 권장</t>
    </r>
  </si>
  <si>
    <t xml:space="preserve">AUTH-017</t>
  </si>
  <si>
    <t xml:space="preserve">비밀번호 변경</t>
  </si>
  <si>
    <r>
      <rPr>
        <sz val="10"/>
        <rFont val="Noto Sans CJK SC"/>
        <family val="2"/>
      </rPr>
      <t xml:space="preserve">로그인한 사용자가 현재 비밀번호 확인 후 새 비밀번호로 변경할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</si>
  <si>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변경 시 다른 기기의 리프레시 토큰을 전부 폐기할 것</t>
    </r>
  </si>
  <si>
    <t xml:space="preserve">AUTH-018</t>
  </si>
  <si>
    <t xml:space="preserve">비밀번호 찾기</t>
  </si>
  <si>
    <r>
      <rPr>
        <sz val="10"/>
        <rFont val="Noto Sans CJK SC"/>
        <family val="2"/>
      </rPr>
      <t xml:space="preserve">가입 시 이메일을 등록한 사용자는 이메일로 비밀번호를 재설정할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</si>
  <si>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★ 와이어프레임에 이메일 입력란이 없음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이메일이 없으면 비밀번호를 잃어버린 사용자를 복구할 방법이 전혀 없다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가입 시 이메일을 받을지 확정 필요</t>
    </r>
  </si>
  <si>
    <t xml:space="preserve">USER-001</t>
  </si>
  <si>
    <t xml:space="preserve">사용자 정보</t>
  </si>
  <si>
    <t xml:space="preserve">프로필</t>
  </si>
  <si>
    <t xml:space="preserve">내 프로필 조회</t>
  </si>
  <si>
    <r>
      <rPr>
        <sz val="10"/>
        <rFont val="Noto Sans CJK SC"/>
        <family val="2"/>
      </rPr>
      <t xml:space="preserve">자신의 프로필과 활동 통계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 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조회할 수 있다</t>
    </r>
    <r>
      <rPr>
        <sz val="10"/>
        <rFont val="맑은 고딕"/>
        <family val="0"/>
        <charset val="1"/>
      </rPr>
      <t xml:space="preserve">.</t>
    </r>
  </si>
  <si>
    <t xml:space="preserve">F-02-01</t>
  </si>
  <si>
    <t xml:space="preserve">USER-002</t>
  </si>
  <si>
    <t xml:space="preserve">프로필 수정</t>
  </si>
  <si>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(2~20</t>
    </r>
    <r>
      <rPr>
        <sz val="10"/>
        <rFont val="Noto Sans CJK SC"/>
        <family val="2"/>
      </rPr>
      <t xml:space="preserve">자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소개글</t>
    </r>
    <r>
      <rPr>
        <sz val="10"/>
        <rFont val="맑은 고딕"/>
        <family val="0"/>
        <charset val="1"/>
      </rPr>
      <t xml:space="preserve">(150</t>
    </r>
    <r>
      <rPr>
        <sz val="10"/>
        <rFont val="Noto Sans CJK SC"/>
        <family val="2"/>
      </rPr>
      <t xml:space="preserve">자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프로필 이미지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언어를 수정할 수 있다</t>
    </r>
    <r>
      <rPr>
        <sz val="10"/>
        <rFont val="맑은 고딕"/>
        <family val="0"/>
        <charset val="1"/>
      </rPr>
      <t xml:space="preserve">.</t>
    </r>
  </si>
  <si>
    <t xml:space="preserve">USER-003</t>
  </si>
  <si>
    <t xml:space="preserve">타 사용자 프로필 조회</t>
  </si>
  <si>
    <r>
      <rPr>
        <sz val="10"/>
        <rFont val="Noto Sans CJK SC"/>
        <family val="2"/>
      </rPr>
      <t xml:space="preserve">다른 사용자의 프로필과 게시물 목록을 조회할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</si>
  <si>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비회원</t>
    </r>
  </si>
  <si>
    <r>
      <rPr>
        <sz val="9"/>
        <color rgb="FF595959"/>
        <rFont val="Noto Sans CJK SC"/>
        <family val="2"/>
      </rPr>
      <t xml:space="preserve">맞팔 여부 표시 위해 </t>
    </r>
    <r>
      <rPr>
        <sz val="9"/>
        <color rgb="FF595959"/>
        <rFont val="맑은 고딕"/>
        <family val="0"/>
        <charset val="1"/>
      </rPr>
      <t xml:space="preserve">isFollowing·isFollowedBy </t>
    </r>
    <r>
      <rPr>
        <sz val="9"/>
        <color rgb="FF595959"/>
        <rFont val="Noto Sans CJK SC"/>
        <family val="2"/>
      </rPr>
      <t xml:space="preserve">동시 반환</t>
    </r>
  </si>
  <si>
    <t xml:space="preserve">USER-004</t>
  </si>
  <si>
    <t xml:space="preserve">프로필 이미지 업로드</t>
  </si>
  <si>
    <r>
      <rPr>
        <sz val="10"/>
        <rFont val="Noto Sans CJK SC"/>
        <family val="2"/>
      </rPr>
      <t xml:space="preserve">프로필 이미지를 </t>
    </r>
    <r>
      <rPr>
        <sz val="10"/>
        <rFont val="맑은 고딕"/>
        <family val="0"/>
        <charset val="1"/>
      </rPr>
      <t xml:space="preserve">S3 Presigned URL</t>
    </r>
    <r>
      <rPr>
        <sz val="10"/>
        <rFont val="Noto Sans CJK SC"/>
        <family val="2"/>
      </rPr>
      <t xml:space="preserve">로 업로드할 수 있다</t>
    </r>
    <r>
      <rPr>
        <sz val="10"/>
        <rFont val="맑은 고딕"/>
        <family val="0"/>
        <charset val="1"/>
      </rPr>
      <t xml:space="preserve">.</t>
    </r>
  </si>
  <si>
    <t xml:space="preserve">게시물 이미지와 동일 흐름</t>
  </si>
  <si>
    <t xml:space="preserve">USER-005</t>
  </si>
  <si>
    <t xml:space="preserve">약관</t>
  </si>
  <si>
    <t xml:space="preserve">이용 약관 동의</t>
  </si>
  <si>
    <r>
      <rPr>
        <sz val="10"/>
        <rFont val="Noto Sans CJK SC"/>
        <family val="2"/>
      </rPr>
      <t xml:space="preserve">최초 업로드 전 이용 약관에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동의한다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</si>
  <si>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미동의 시 업로드 차단</t>
    </r>
    <r>
      <rPr>
        <sz val="9"/>
        <color rgb="FF595959"/>
        <rFont val="맑은 고딕"/>
        <family val="0"/>
        <charset val="1"/>
      </rPr>
      <t xml:space="preserve">(USER_002)</t>
    </r>
  </si>
  <si>
    <t xml:space="preserve">USER-006</t>
  </si>
  <si>
    <t xml:space="preserve">기기 관리</t>
  </si>
  <si>
    <r>
      <rPr>
        <sz val="10"/>
        <rFont val="맑은 고딕"/>
        <family val="0"/>
        <charset val="1"/>
      </rPr>
      <t xml:space="preserve">FCM </t>
    </r>
    <r>
      <rPr>
        <sz val="10"/>
        <rFont val="Noto Sans CJK SC"/>
        <family val="2"/>
      </rPr>
      <t xml:space="preserve">토큰 등록</t>
    </r>
  </si>
  <si>
    <r>
      <rPr>
        <sz val="10"/>
        <rFont val="Noto Sans CJK SC"/>
        <family val="2"/>
      </rPr>
      <t xml:space="preserve">앱 시작 시 기기 식별자와 </t>
    </r>
    <r>
      <rPr>
        <sz val="10"/>
        <rFont val="맑은 고딕"/>
        <family val="0"/>
        <charset val="1"/>
      </rPr>
      <t xml:space="preserve">FCM </t>
    </r>
    <r>
      <rPr>
        <sz val="10"/>
        <rFont val="Noto Sans CJK SC"/>
        <family val="2"/>
      </rPr>
      <t xml:space="preserve">토큰을 등록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갱신한다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</si>
  <si>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토큰은 재설치</t>
    </r>
    <r>
      <rPr>
        <sz val="9"/>
        <color rgb="FF595959"/>
        <rFont val="맑은 고딕"/>
        <family val="0"/>
        <charset val="1"/>
      </rPr>
      <t xml:space="preserve">·OS </t>
    </r>
    <r>
      <rPr>
        <sz val="9"/>
        <color rgb="FF595959"/>
        <rFont val="Noto Sans CJK SC"/>
        <family val="2"/>
      </rPr>
      <t xml:space="preserve">업데이트 시 변경됨 — 미갱신이 푸시 장애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위 원인</t>
    </r>
  </si>
  <si>
    <t xml:space="preserve">USER-007</t>
  </si>
  <si>
    <t xml:space="preserve">계정 삭제</t>
  </si>
  <si>
    <t xml:space="preserve">삭제 전 미리보기</t>
  </si>
  <si>
    <r>
      <rPr>
        <sz val="10"/>
        <rFont val="Noto Sans CJK SC"/>
        <family val="2"/>
      </rPr>
      <t xml:space="preserve">탈퇴 시 사라지는 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 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미리 확인할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</si>
  <si>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F-01-05 / </t>
    </r>
    <r>
      <rPr>
        <sz val="9"/>
        <color rgb="FF595959"/>
        <rFont val="Noto Sans CJK SC"/>
        <family val="2"/>
      </rPr>
      <t xml:space="preserve">오조작 탈퇴 방지</t>
    </r>
  </si>
  <si>
    <t xml:space="preserve">USER-008</t>
  </si>
  <si>
    <t xml:space="preserve">계정 삭제 요청</t>
  </si>
  <si>
    <r>
      <rPr>
        <sz val="10"/>
        <rFont val="Noto Sans CJK SC"/>
        <family val="2"/>
      </rPr>
      <t xml:space="preserve">계정 삭제를 요청하면 개인정보는 즉시 파기되고 계정은 탈퇴 상태로 전환된다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</si>
  <si>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개인정보보호법 근거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이메일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구글</t>
    </r>
    <r>
      <rPr>
        <sz val="9"/>
        <color rgb="FF595959"/>
        <rFont val="맑은 고딕"/>
        <family val="0"/>
        <charset val="1"/>
      </rPr>
      <t xml:space="preserve">sub·</t>
    </r>
    <r>
      <rPr>
        <sz val="9"/>
        <color rgb="FF595959"/>
        <rFont val="Noto Sans CJK SC"/>
        <family val="2"/>
      </rPr>
      <t xml:space="preserve">닉네임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프로필 즉시 제거</t>
    </r>
  </si>
  <si>
    <t xml:space="preserve">USER-009</t>
  </si>
  <si>
    <t xml:space="preserve">콘텐츠 처리 선택</t>
  </si>
  <si>
    <r>
      <rPr>
        <sz val="10"/>
        <rFont val="Noto Sans CJK SC"/>
        <family val="2"/>
      </rPr>
      <t xml:space="preserve">탈퇴 시 게시물을 남길지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작성자만 익명화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전부 삭제할지 선택할 수 있다</t>
    </r>
    <r>
      <rPr>
        <sz val="10"/>
        <rFont val="맑은 고딕"/>
        <family val="0"/>
        <charset val="1"/>
      </rPr>
      <t xml:space="preserve">.</t>
    </r>
  </si>
  <si>
    <t xml:space="preserve">KEEP_ANONYMIZED / DELETE_ALL</t>
  </si>
  <si>
    <t xml:space="preserve">USER-010</t>
  </si>
  <si>
    <t xml:space="preserve">연관 데이터 즉시 정리</t>
  </si>
  <si>
    <r>
      <rPr>
        <sz val="10"/>
        <rFont val="Noto Sans CJK SC"/>
        <family val="2"/>
      </rPr>
      <t xml:space="preserve">탈퇴 시 팔로우 관계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북마크</t>
    </r>
    <r>
      <rPr>
        <sz val="10"/>
        <rFont val="맑은 고딕"/>
        <family val="0"/>
        <charset val="1"/>
      </rPr>
      <t xml:space="preserve">·FCM </t>
    </r>
    <r>
      <rPr>
        <sz val="10"/>
        <rFont val="Noto Sans CJK SC"/>
        <family val="2"/>
      </rPr>
      <t xml:space="preserve">토큰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리프레시 토큰을 즉시 삭제한다</t>
    </r>
    <r>
      <rPr>
        <sz val="10"/>
        <rFont val="맑은 고딕"/>
        <family val="0"/>
        <charset val="1"/>
      </rPr>
      <t xml:space="preserve">.</t>
    </r>
  </si>
  <si>
    <t xml:space="preserve">상대방 화면에서 바로 사라져야 함</t>
  </si>
  <si>
    <t xml:space="preserve">USER-011</t>
  </si>
  <si>
    <t xml:space="preserve">계정 파기 배치</t>
  </si>
  <si>
    <r>
      <rPr>
        <sz val="10"/>
        <rFont val="Noto Sans CJK SC"/>
        <family val="2"/>
      </rPr>
      <t xml:space="preserve">탈퇴 후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일이 지난 계정의 레코드와 콘텐츠를 완전히 파기한다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</si>
  <si>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매일 </t>
    </r>
    <r>
      <rPr>
        <sz val="9"/>
        <color rgb="FF595959"/>
        <rFont val="맑은 고딕"/>
        <family val="0"/>
        <charset val="1"/>
      </rPr>
      <t xml:space="preserve">05:00 / S3 </t>
    </r>
    <r>
      <rPr>
        <sz val="9"/>
        <color rgb="FF595959"/>
        <rFont val="Noto Sans CJK SC"/>
        <family val="2"/>
      </rPr>
      <t xml:space="preserve">삭제 실패 시 롤백 금지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재시도 큐</t>
    </r>
  </si>
  <si>
    <t xml:space="preserve">USER-012</t>
  </si>
  <si>
    <t xml:space="preserve">탈퇴 계정 복구</t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</si>
  <si>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유예 안에 같은 구글 계정으로 로그인하면 계정을 복구할 수 있다</t>
    </r>
    <r>
      <rPr>
        <sz val="10"/>
        <rFont val="맑은 고딕"/>
        <family val="0"/>
        <charset val="1"/>
      </rPr>
      <t xml:space="preserve">.</t>
    </r>
  </si>
  <si>
    <t xml:space="preserve">개인정보는 이미 파기되어 복구되지 않음 — 안내 필수</t>
  </si>
  <si>
    <t xml:space="preserve">USER-013</t>
  </si>
  <si>
    <t xml:space="preserve">관리자 강제 삭제</t>
  </si>
  <si>
    <r>
      <rPr>
        <sz val="10"/>
        <rFont val="Noto Sans CJK SC"/>
        <family val="2"/>
      </rPr>
      <t xml:space="preserve">관리자가 악성 계정을 유예 없이 즉시 파기할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</si>
  <si>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콘텐츠는 항상 </t>
    </r>
    <r>
      <rPr>
        <sz val="9"/>
        <color rgb="FF595959"/>
        <rFont val="맑은 고딕"/>
        <family val="0"/>
        <charset val="1"/>
      </rPr>
      <t xml:space="preserve">DELETE_ALL</t>
    </r>
  </si>
  <si>
    <t xml:space="preserve">USER-014</t>
  </si>
  <si>
    <t xml:space="preserve">알림 설정</t>
  </si>
  <si>
    <t xml:space="preserve">알림 수신 설정</t>
  </si>
  <si>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팔로잉 새 글 알림을 개별로 켜고 끌 수 있다</t>
    </r>
    <r>
      <rPr>
        <sz val="10"/>
        <rFont val="맑은 고딕"/>
        <family val="0"/>
        <charset val="1"/>
      </rPr>
      <t xml:space="preserve">.</t>
    </r>
  </si>
  <si>
    <t xml:space="preserve">F-08</t>
  </si>
  <si>
    <t xml:space="preserve">USER-015</t>
  </si>
  <si>
    <t xml:space="preserve">인기 지수</t>
  </si>
  <si>
    <t xml:space="preserve">인기 지수 산정</t>
  </si>
  <si>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 활동량을 합산하여 사용자 인기 지수를 산정한다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</si>
  <si>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받은 좋아요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댓글에 비중을 두어야 자기 활동만으로 점수를 올리는 것을 막을 수 있음</t>
    </r>
  </si>
  <si>
    <t xml:space="preserve">USER-016</t>
  </si>
  <si>
    <t xml:space="preserve">등급 산출</t>
  </si>
  <si>
    <r>
      <rPr>
        <sz val="10"/>
        <rFont val="Noto Sans CJK SC"/>
        <family val="2"/>
      </rPr>
      <t xml:space="preserve">인기 지수 구간에 따라 사용자 등급을 산출하여 프로필에 표시한다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</si>
  <si>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등급 명칭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구간 확정 필요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구간을 좁게 잡으면 초반에 등급이 급하게 올라 의미가 희석됨</t>
    </r>
  </si>
  <si>
    <t xml:space="preserve">USER-017</t>
  </si>
  <si>
    <t xml:space="preserve">등급 상승 알림</t>
  </si>
  <si>
    <r>
      <rPr>
        <sz val="10"/>
        <rFont val="Noto Sans CJK SC"/>
        <family val="2"/>
      </rPr>
      <t xml:space="preserve">등급이 올라가면 사용자에게 알림을 발송한다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</si>
  <si>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재방문 유도 장치</t>
    </r>
  </si>
  <si>
    <t xml:space="preserve">USER-018</t>
  </si>
  <si>
    <r>
      <rPr>
        <b val="true"/>
        <sz val="10"/>
        <rFont val="Noto Sans CJK SC"/>
        <family val="2"/>
      </rPr>
      <t xml:space="preserve">개인 </t>
    </r>
    <r>
      <rPr>
        <b val="true"/>
        <sz val="10"/>
        <rFont val="맑은 고딕"/>
        <family val="0"/>
        <charset val="1"/>
      </rPr>
      <t xml:space="preserve">SNS </t>
    </r>
    <r>
      <rPr>
        <b val="true"/>
        <sz val="10"/>
        <rFont val="Noto Sans CJK SC"/>
        <family val="2"/>
      </rPr>
      <t xml:space="preserve">링크 등록</t>
    </r>
  </si>
  <si>
    <r>
      <rPr>
        <sz val="10"/>
        <rFont val="Noto Sans CJK SC"/>
        <family val="2"/>
      </rPr>
      <t xml:space="preserve">인스타그램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유튜브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블로그 등 개인 </t>
    </r>
    <r>
      <rPr>
        <sz val="10"/>
        <rFont val="맑은 고딕"/>
        <family val="0"/>
        <charset val="1"/>
      </rPr>
      <t xml:space="preserve">SNS </t>
    </r>
    <r>
      <rPr>
        <sz val="10"/>
        <rFont val="Noto Sans CJK SC"/>
        <family val="2"/>
      </rPr>
      <t xml:space="preserve">링크를 프로필에 등록하고 노출할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</si>
  <si>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★ 외부 링크는 검증 필요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허용 도메인만 받고 스킴</t>
    </r>
    <r>
      <rPr>
        <b val="true"/>
        <sz val="9"/>
        <color rgb="FFC00000"/>
        <rFont val="맑은 고딕"/>
        <family val="0"/>
        <charset val="1"/>
      </rPr>
      <t xml:space="preserve">(https)</t>
    </r>
    <r>
      <rPr>
        <b val="true"/>
        <sz val="9"/>
        <color rgb="FFC00000"/>
        <rFont val="Noto Sans CJK SC"/>
        <family val="2"/>
      </rPr>
      <t xml:space="preserve">을 강제하지 않으면 피싱 링크 유포 통로가 된다</t>
    </r>
  </si>
  <si>
    <t xml:space="preserve">USER-019</t>
  </si>
  <si>
    <t xml:space="preserve">링크 유효성 검증</t>
  </si>
  <si>
    <r>
      <rPr>
        <sz val="10"/>
        <rFont val="Noto Sans CJK SC"/>
        <family val="2"/>
      </rPr>
      <t xml:space="preserve">등록한 </t>
    </r>
    <r>
      <rPr>
        <sz val="10"/>
        <rFont val="맑은 고딕"/>
        <family val="0"/>
        <charset val="1"/>
      </rPr>
      <t xml:space="preserve">SNS </t>
    </r>
    <r>
      <rPr>
        <sz val="10"/>
        <rFont val="Noto Sans CJK SC"/>
        <family val="2"/>
      </rPr>
      <t xml:space="preserve">링크의 형식과 허용 도메인을 검증한다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</si>
  <si>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화이트리스트 방식 권장</t>
    </r>
  </si>
  <si>
    <t xml:space="preserve">SOC-001</t>
  </si>
  <si>
    <t xml:space="preserve">소셜</t>
  </si>
  <si>
    <t xml:space="preserve">팔로우</t>
  </si>
  <si>
    <t xml:space="preserve">회원 팔로우</t>
  </si>
  <si>
    <r>
      <rPr>
        <sz val="10"/>
        <rFont val="Noto Sans CJK SC"/>
        <family val="2"/>
      </rPr>
      <t xml:space="preserve">다른 회원을 팔로우하거나 팔로우를 취소할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</si>
  <si>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F-02-03 / </t>
    </r>
    <r>
      <rPr>
        <sz val="9"/>
        <color rgb="FF595959"/>
        <rFont val="Noto Sans CJK SC"/>
        <family val="2"/>
      </rPr>
      <t xml:space="preserve">자기 자신 팔로우 불가</t>
    </r>
  </si>
  <si>
    <t xml:space="preserve">SOC-002</t>
  </si>
  <si>
    <t xml:space="preserve">팔로우 멱등 처리</t>
  </si>
  <si>
    <r>
      <rPr>
        <sz val="10"/>
        <rFont val="Noto Sans CJK SC"/>
        <family val="2"/>
      </rPr>
      <t xml:space="preserve">이미 팔로우한 대상을 다시 요청해도 오류 없이 성공으로 처리한다</t>
    </r>
    <r>
      <rPr>
        <sz val="10"/>
        <rFont val="맑은 고딕"/>
        <family val="0"/>
        <charset val="1"/>
      </rPr>
      <t xml:space="preserve">.</t>
    </r>
  </si>
  <si>
    <t xml:space="preserve">네트워크 재시도 대응</t>
  </si>
  <si>
    <t xml:space="preserve">SOC-003</t>
  </si>
  <si>
    <t xml:space="preserve">팔로우 한도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</si>
  <si>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일 팔로우 횟수를 </t>
    </r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회로 제한한다</t>
    </r>
    <r>
      <rPr>
        <sz val="10"/>
        <rFont val="맑은 고딕"/>
        <family val="0"/>
        <charset val="1"/>
      </rPr>
      <t xml:space="preserve">.</t>
    </r>
  </si>
  <si>
    <t xml:space="preserve">팔로우 스팸 방지</t>
  </si>
  <si>
    <t xml:space="preserve">SOC-004</t>
  </si>
  <si>
    <t xml:space="preserve">팔로워 목록 조회</t>
  </si>
  <si>
    <r>
      <rPr>
        <sz val="10"/>
        <rFont val="Noto Sans CJK SC"/>
        <family val="2"/>
      </rPr>
      <t xml:space="preserve">나를 팔로우한 사용자 목록을 조회할 수 있다</t>
    </r>
    <r>
      <rPr>
        <sz val="10"/>
        <rFont val="맑은 고딕"/>
        <family val="0"/>
        <charset val="1"/>
      </rPr>
      <t xml:space="preserve">.</t>
    </r>
  </si>
  <si>
    <t xml:space="preserve">역방향 인덱스 필요</t>
  </si>
  <si>
    <t xml:space="preserve">SOC-005</t>
  </si>
  <si>
    <t xml:space="preserve">팔로잉 목록 조회</t>
  </si>
  <si>
    <r>
      <rPr>
        <sz val="10"/>
        <rFont val="Noto Sans CJK SC"/>
        <family val="2"/>
      </rPr>
      <t xml:space="preserve">내가 팔로우한 사용자 목록을 조회할 수 있다</t>
    </r>
    <r>
      <rPr>
        <sz val="10"/>
        <rFont val="맑은 고딕"/>
        <family val="0"/>
        <charset val="1"/>
      </rPr>
      <t xml:space="preserve">.</t>
    </r>
  </si>
  <si>
    <t xml:space="preserve">F-02-04</t>
  </si>
  <si>
    <t xml:space="preserve">SOC-006</t>
  </si>
  <si>
    <t xml:space="preserve">피드</t>
  </si>
  <si>
    <t xml:space="preserve">팔로잉 전용 피드 조회</t>
  </si>
  <si>
    <r>
      <rPr>
        <sz val="10"/>
        <rFont val="Noto Sans CJK SC"/>
        <family val="2"/>
      </rPr>
      <t xml:space="preserve">팔로우한 사용자들의 게시물만 모아서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</si>
  <si>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내비게이션에서 제외하고 마이 하위 화면으로 이동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목록 가중치</t>
    </r>
    <r>
      <rPr>
        <b val="true"/>
        <sz val="9"/>
        <color rgb="FFC00000"/>
        <rFont val="맑은 고딕"/>
        <family val="0"/>
        <charset val="1"/>
      </rPr>
      <t xml:space="preserve">(PST-031)</t>
    </r>
    <r>
      <rPr>
        <b val="true"/>
        <sz val="9"/>
        <color rgb="FFC00000"/>
        <rFont val="Noto Sans CJK SC"/>
        <family val="2"/>
      </rPr>
      <t xml:space="preserve">가 주된 활용 방식이 되므로 우선순위를 낮춤</t>
    </r>
  </si>
  <si>
    <t xml:space="preserve">SOC-007</t>
  </si>
  <si>
    <t xml:space="preserve">사용자 게시물 목록</t>
  </si>
  <si>
    <r>
      <rPr>
        <sz val="10"/>
        <rFont val="Noto Sans CJK SC"/>
        <family val="2"/>
      </rPr>
      <t xml:space="preserve">특정 사용자가 작성한 게시물을 그리드 형태로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</si>
  <si>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썸네일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이미지수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좋아요수만 반환</t>
    </r>
  </si>
  <si>
    <t xml:space="preserve">SOC-008</t>
  </si>
  <si>
    <t xml:space="preserve">추천 사용자 조회</t>
  </si>
  <si>
    <r>
      <rPr>
        <sz val="10"/>
        <rFont val="Noto Sans CJK SC"/>
        <family val="2"/>
      </rPr>
      <t xml:space="preserve">팔로우한 사용자가 없거나 적을 때 팔로우할 만한 사용자를 추천한다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</si>
  <si>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팔로잉 가중치 </t>
    </r>
    <r>
      <rPr>
        <b val="true"/>
        <sz val="9"/>
        <color rgb="FFC00000"/>
        <rFont val="맑은 고딕"/>
        <family val="0"/>
        <charset val="1"/>
      </rPr>
      <t xml:space="preserve">· </t>
    </r>
    <r>
      <rPr>
        <b val="true"/>
        <sz val="9"/>
        <color rgb="FFC00000"/>
        <rFont val="Noto Sans CJK SC"/>
        <family val="2"/>
      </rPr>
      <t xml:space="preserve">실시간 정의 확정 반영 팔로잉이 </t>
    </r>
    <r>
      <rPr>
        <b val="true"/>
        <sz val="9"/>
        <color rgb="FFC00000"/>
        <rFont val="맑은 고딕"/>
        <family val="0"/>
        <charset val="1"/>
      </rPr>
      <t xml:space="preserve">0</t>
    </r>
    <r>
      <rPr>
        <b val="true"/>
        <sz val="9"/>
        <color rgb="FFC00000"/>
        <rFont val="Noto Sans CJK SC"/>
        <family val="2"/>
      </rPr>
      <t xml:space="preserve">명이면 가중치 정렬이 아무 효과가 없음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같은 지역에 자주 올리는 사용자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인기 작성자 기준</t>
    </r>
  </si>
  <si>
    <t xml:space="preserve">PLC-001</t>
  </si>
  <si>
    <t xml:space="preserve">장소</t>
  </si>
  <si>
    <t xml:space="preserve">기준 데이터</t>
  </si>
  <si>
    <t xml:space="preserve">지역 마스터 관리</t>
  </si>
  <si>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개 시도와 시군구 코드를 관광공사 기준으로 관리한다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</si>
  <si>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areaCode</t>
    </r>
    <r>
      <rPr>
        <sz val="9"/>
        <color rgb="FF595959"/>
        <rFont val="Noto Sans CJK SC"/>
        <family val="2"/>
      </rPr>
      <t xml:space="preserve">는 </t>
    </r>
    <r>
      <rPr>
        <sz val="9"/>
        <color rgb="FF595959"/>
        <rFont val="맑은 고딕"/>
        <family val="0"/>
        <charset val="1"/>
      </rPr>
      <t xml:space="preserve">1~8, 31~39</t>
    </r>
    <r>
      <rPr>
        <sz val="9"/>
        <color rgb="FF595959"/>
        <rFont val="Noto Sans CJK SC"/>
        <family val="2"/>
      </rPr>
      <t xml:space="preserve">로 비연속 — 재번호 금지</t>
    </r>
  </si>
  <si>
    <t xml:space="preserve">PLC-002</t>
  </si>
  <si>
    <t xml:space="preserve">관광지 데이터 연동</t>
  </si>
  <si>
    <r>
      <rPr>
        <sz val="10"/>
        <rFont val="Noto Sans CJK SC"/>
        <family val="2"/>
      </rPr>
      <t xml:space="preserve">한국관광공사 </t>
    </r>
    <r>
      <rPr>
        <sz val="10"/>
        <rFont val="맑은 고딕"/>
        <family val="0"/>
        <charset val="1"/>
      </rPr>
      <t xml:space="preserve">TourAPI</t>
    </r>
    <r>
      <rPr>
        <sz val="10"/>
        <rFont val="Noto Sans CJK SC"/>
        <family val="2"/>
      </rPr>
      <t xml:space="preserve">에서 관광지 정보를 수집해 저장한다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</si>
  <si>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F-03-02 / areaBasedSyncList </t>
    </r>
    <r>
      <rPr>
        <sz val="9"/>
        <color rgb="FF595959"/>
        <rFont val="Noto Sans CJK SC"/>
        <family val="2"/>
      </rPr>
      <t xml:space="preserve">우선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증분 동기화</t>
    </r>
    <r>
      <rPr>
        <sz val="9"/>
        <color rgb="FF595959"/>
        <rFont val="맑은 고딕"/>
        <family val="0"/>
        <charset val="1"/>
      </rPr>
      <t xml:space="preserve">)</t>
    </r>
  </si>
  <si>
    <t xml:space="preserve">PLC-003</t>
  </si>
  <si>
    <t xml:space="preserve">관광지 증분 갱신</t>
  </si>
  <si>
    <r>
      <rPr>
        <sz val="10"/>
        <rFont val="Noto Sans CJK SC"/>
        <family val="2"/>
      </rPr>
      <t xml:space="preserve">수정일이 더 최신인 데이터만 갱신하여 중복 처리를 방지한다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</si>
  <si>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contentId </t>
    </r>
    <r>
      <rPr>
        <sz val="9"/>
        <color rgb="FF595959"/>
        <rFont val="Noto Sans CJK SC"/>
        <family val="2"/>
      </rPr>
      <t xml:space="preserve">기준 </t>
    </r>
    <r>
      <rPr>
        <sz val="9"/>
        <color rgb="FF595959"/>
        <rFont val="맑은 고딕"/>
        <family val="0"/>
        <charset val="1"/>
      </rPr>
      <t xml:space="preserve">UPSERT</t>
    </r>
  </si>
  <si>
    <t xml:space="preserve">PLC-004</t>
  </si>
  <si>
    <t xml:space="preserve">상세 정보 지연 적재</t>
  </si>
  <si>
    <r>
      <rPr>
        <sz val="10"/>
        <rFont val="Noto Sans CJK SC"/>
        <family val="2"/>
      </rPr>
      <t xml:space="preserve">장소 상세를 최초 조회할 때 개요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이용시간 정보를 외부에서 받아 저장한다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</si>
  <si>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전체 배치 시 호출량 폭발 — </t>
    </r>
    <r>
      <rPr>
        <sz val="9"/>
        <color rgb="FF595959"/>
        <rFont val="맑은 고딕"/>
        <family val="0"/>
        <charset val="1"/>
      </rPr>
      <t xml:space="preserve">write-through </t>
    </r>
    <r>
      <rPr>
        <sz val="9"/>
        <color rgb="FF595959"/>
        <rFont val="Noto Sans CJK SC"/>
        <family val="2"/>
      </rPr>
      <t xml:space="preserve">캐시</t>
    </r>
  </si>
  <si>
    <t xml:space="preserve">PLC-005</t>
  </si>
  <si>
    <t xml:space="preserve">좌표 없는 데이터 처리</t>
  </si>
  <si>
    <r>
      <rPr>
        <sz val="10"/>
        <rFont val="Noto Sans CJK SC"/>
        <family val="2"/>
      </rPr>
      <t xml:space="preserve">좌표가 없는 관광지는 저장하되 위치 기반 기능에서 제외한다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</si>
  <si>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has_coordinate </t>
    </r>
    <r>
      <rPr>
        <sz val="9"/>
        <color rgb="FF595959"/>
        <rFont val="Noto Sans CJK SC"/>
        <family val="2"/>
      </rPr>
      <t xml:space="preserve">플래그</t>
    </r>
  </si>
  <si>
    <t xml:space="preserve">PLC-006</t>
  </si>
  <si>
    <t xml:space="preserve">배치 실행 로그</t>
  </si>
  <si>
    <r>
      <rPr>
        <sz val="10"/>
        <rFont val="Noto Sans CJK SC"/>
        <family val="2"/>
      </rPr>
      <t xml:space="preserve">외부 연동 배치의 성공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건수를 기록한다</t>
    </r>
    <r>
      <rPr>
        <sz val="10"/>
        <rFont val="맑은 고딕"/>
        <family val="0"/>
        <charset val="1"/>
      </rPr>
      <t xml:space="preserve">.</t>
    </r>
  </si>
  <si>
    <t xml:space="preserve">조합 단위 트랜잭션 분리</t>
  </si>
  <si>
    <t xml:space="preserve">PLC-007</t>
  </si>
  <si>
    <t xml:space="preserve">장소 조회</t>
  </si>
  <si>
    <t xml:space="preserve">지역별 장소 목록</t>
  </si>
  <si>
    <r>
      <rPr>
        <sz val="10"/>
        <rFont val="Noto Sans CJK SC"/>
        <family val="2"/>
      </rPr>
      <t xml:space="preserve">지역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시군구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유형별로 장소 목록을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</si>
  <si>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목록에 장문 텍스트 제외</t>
    </r>
    <r>
      <rPr>
        <sz val="9"/>
        <color rgb="FF595959"/>
        <rFont val="맑은 고딕"/>
        <family val="0"/>
        <charset val="1"/>
      </rPr>
      <t xml:space="preserve">(DTO Projection)</t>
    </r>
  </si>
  <si>
    <t xml:space="preserve">PLC-008</t>
  </si>
  <si>
    <t xml:space="preserve">장소 상세 조회</t>
  </si>
  <si>
    <r>
      <rPr>
        <sz val="10"/>
        <rFont val="Noto Sans CJK SC"/>
        <family val="2"/>
      </rPr>
      <t xml:space="preserve">장소의 기본 정보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공식 이미지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랭킹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최근 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주변 장소를 한 번에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</si>
  <si>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F-07 / </t>
    </r>
    <r>
      <rPr>
        <sz val="9"/>
        <color rgb="FF595959"/>
        <rFont val="Noto Sans CJK SC"/>
        <family val="2"/>
      </rPr>
      <t xml:space="preserve">화면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개 </t>
    </r>
    <r>
      <rPr>
        <sz val="9"/>
        <color rgb="FF595959"/>
        <rFont val="맑은 고딕"/>
        <family val="0"/>
        <charset val="1"/>
      </rPr>
      <t xml:space="preserve">= API 1</t>
    </r>
    <r>
      <rPr>
        <sz val="9"/>
        <color rgb="FF595959"/>
        <rFont val="Noto Sans CJK SC"/>
        <family val="2"/>
      </rPr>
      <t xml:space="preserve">회</t>
    </r>
  </si>
  <si>
    <t xml:space="preserve">PLC-009</t>
  </si>
  <si>
    <t xml:space="preserve">장소별 게시물 목록</t>
  </si>
  <si>
    <r>
      <rPr>
        <sz val="10"/>
        <rFont val="Noto Sans CJK SC"/>
        <family val="2"/>
      </rPr>
      <t xml:space="preserve">특정 장소에 등록된 게시물을 조회할 수 있다</t>
    </r>
    <r>
      <rPr>
        <sz val="10"/>
        <rFont val="맑은 고딕"/>
        <family val="0"/>
        <charset val="1"/>
      </rPr>
      <t xml:space="preserve">.</t>
    </r>
  </si>
  <si>
    <t xml:space="preserve">PLC-010</t>
  </si>
  <si>
    <t xml:space="preserve">장소 조회수 집계</t>
  </si>
  <si>
    <r>
      <rPr>
        <sz val="10"/>
        <rFont val="Noto Sans CJK SC"/>
        <family val="2"/>
      </rPr>
      <t xml:space="preserve">동일 사용자의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 내 재조회는 조회수에 반영하지 않는다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</si>
  <si>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Redis </t>
    </r>
    <r>
      <rPr>
        <sz val="9"/>
        <color rgb="FF595959"/>
        <rFont val="Noto Sans CJK SC"/>
        <family val="2"/>
      </rPr>
      <t xml:space="preserve">권장</t>
    </r>
  </si>
  <si>
    <t xml:space="preserve">PLC-011</t>
  </si>
  <si>
    <t xml:space="preserve">사용자 장소</t>
  </si>
  <si>
    <t xml:space="preserve">사용자 장소 생성</t>
  </si>
  <si>
    <r>
      <rPr>
        <sz val="10"/>
        <rFont val="Noto Sans CJK SC"/>
        <family val="2"/>
      </rPr>
      <t xml:space="preserve">관광지가 아닌 장소를 사용자가 </t>
    </r>
    <r>
      <rPr>
        <sz val="10"/>
        <rFont val="맑은 고딕"/>
        <family val="0"/>
        <charset val="1"/>
      </rPr>
      <t xml:space="preserve">GPS </t>
    </r>
    <r>
      <rPr>
        <sz val="10"/>
        <rFont val="Noto Sans CJK SC"/>
        <family val="2"/>
      </rPr>
      <t xml:space="preserve">좌표로 직접 등록할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</si>
  <si>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F-03-03 / </t>
    </r>
    <r>
      <rPr>
        <sz val="9"/>
        <color rgb="FF595959"/>
        <rFont val="Noto Sans CJK SC"/>
        <family val="2"/>
      </rPr>
      <t xml:space="preserve">숨은 명소</t>
    </r>
  </si>
  <si>
    <t xml:space="preserve">PLC-012</t>
  </si>
  <si>
    <t xml:space="preserve">중복 장소 방지</t>
  </si>
  <si>
    <r>
      <rPr>
        <sz val="10"/>
        <rFont val="Noto Sans CJK SC"/>
        <family val="2"/>
      </rPr>
      <t xml:space="preserve">반경 </t>
    </r>
    <r>
      <rPr>
        <sz val="10"/>
        <rFont val="맑은 고딕"/>
        <family val="0"/>
        <charset val="1"/>
      </rPr>
      <t xml:space="preserve">100m </t>
    </r>
    <r>
      <rPr>
        <sz val="10"/>
        <rFont val="Noto Sans CJK SC"/>
        <family val="2"/>
      </rPr>
      <t xml:space="preserve">안에 같은 이름의 장소가 있으면 새로 만들지 않고 기존 장소를 반환한다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</si>
  <si>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미적용 시 같은 카페가 </t>
    </r>
    <r>
      <rPr>
        <sz val="9"/>
        <color rgb="FF595959"/>
        <rFont val="맑은 고딕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개 생겨 랭킹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히트맵 무의미</t>
    </r>
  </si>
  <si>
    <t xml:space="preserve">PLC-013</t>
  </si>
  <si>
    <t xml:space="preserve">장소 생성 한도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</si>
  <si>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인당 하루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개까지 장소를 생성할 수 있다</t>
    </r>
    <r>
      <rPr>
        <sz val="10"/>
        <rFont val="맑은 고딕"/>
        <family val="0"/>
        <charset val="1"/>
      </rPr>
      <t xml:space="preserve">.</t>
    </r>
  </si>
  <si>
    <t xml:space="preserve">장소 도배 방지</t>
  </si>
  <si>
    <t xml:space="preserve">PLC-014</t>
  </si>
  <si>
    <t xml:space="preserve">서비스 범위 검증</t>
  </si>
  <si>
    <r>
      <rPr>
        <sz val="10"/>
        <rFont val="Noto Sans CJK SC"/>
        <family val="2"/>
      </rPr>
      <t xml:space="preserve">대한민국 좌표 범위를 벗어난 장소는 생성할 수 없다</t>
    </r>
    <r>
      <rPr>
        <sz val="10"/>
        <rFont val="맑은 고딕"/>
        <family val="0"/>
        <charset val="1"/>
      </rPr>
      <t xml:space="preserve">.</t>
    </r>
  </si>
  <si>
    <t xml:space="preserve">PLC-015</t>
  </si>
  <si>
    <t xml:space="preserve">지역 자동 판정</t>
  </si>
  <si>
    <r>
      <rPr>
        <sz val="10"/>
        <rFont val="Noto Sans CJK SC"/>
        <family val="2"/>
      </rPr>
      <t xml:space="preserve">등록 좌표로 소속 시도를 자동 판정한다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</si>
  <si>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현재는 시도 중심 최근접 — 경계 부정확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논의 필요</t>
    </r>
  </si>
  <si>
    <t xml:space="preserve">PLC-016</t>
  </si>
  <si>
    <t xml:space="preserve">장소 신고 처리</t>
  </si>
  <si>
    <r>
      <rPr>
        <sz val="10"/>
        <rFont val="Noto Sans CJK SC"/>
        <family val="2"/>
      </rPr>
      <t xml:space="preserve">신고가 누적된 사용자 장소를 숨기고 연결된 게시물을 분리한다</t>
    </r>
    <r>
      <rPr>
        <sz val="10"/>
        <rFont val="맑은 고딕"/>
        <family val="0"/>
        <charset val="1"/>
      </rPr>
      <t xml:space="preserve">.</t>
    </r>
  </si>
  <si>
    <t xml:space="preserve">PST-001</t>
  </si>
  <si>
    <t xml:space="preserve">게시물</t>
  </si>
  <si>
    <t xml:space="preserve">업로드</t>
  </si>
  <si>
    <r>
      <rPr>
        <sz val="10"/>
        <rFont val="Noto Sans CJK SC"/>
        <family val="2"/>
      </rPr>
      <t xml:space="preserve">이미지 업로드 </t>
    </r>
    <r>
      <rPr>
        <sz val="10"/>
        <rFont val="맑은 고딕"/>
        <family val="0"/>
        <charset val="1"/>
      </rPr>
      <t xml:space="preserve">URL </t>
    </r>
    <r>
      <rPr>
        <sz val="10"/>
        <rFont val="Noto Sans CJK SC"/>
        <family val="2"/>
      </rPr>
      <t xml:space="preserve">발급</t>
    </r>
  </si>
  <si>
    <r>
      <rPr>
        <sz val="10"/>
        <rFont val="Noto Sans CJK SC"/>
        <family val="2"/>
      </rPr>
      <t xml:space="preserve">여러 장의 이미지를 업로드할 </t>
    </r>
    <r>
      <rPr>
        <sz val="10"/>
        <rFont val="맑은 고딕"/>
        <family val="0"/>
        <charset val="1"/>
      </rPr>
      <t xml:space="preserve">S3 Presigned URL</t>
    </r>
    <r>
      <rPr>
        <sz val="10"/>
        <rFont val="Noto Sans CJK SC"/>
        <family val="2"/>
      </rPr>
      <t xml:space="preserve">을 한 번에 발급받는다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</si>
  <si>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F-04-01 / </t>
    </r>
    <r>
      <rPr>
        <sz val="9"/>
        <color rgb="FF595959"/>
        <rFont val="Noto Sans CJK SC"/>
        <family val="2"/>
      </rPr>
      <t xml:space="preserve">서버를 거치지 않아 부하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비용 절감</t>
    </r>
  </si>
  <si>
    <t xml:space="preserve">PST-002</t>
  </si>
  <si>
    <r>
      <rPr>
        <sz val="10"/>
        <rFont val="Noto Sans CJK SC"/>
        <family val="2"/>
      </rPr>
      <t xml:space="preserve">미디어 형식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용량 검증</t>
    </r>
  </si>
  <si>
    <r>
      <rPr>
        <sz val="10"/>
        <rFont val="Noto Sans CJK SC"/>
        <family val="2"/>
      </rPr>
      <t xml:space="preserve">이미지</t>
    </r>
    <r>
      <rPr>
        <sz val="10"/>
        <rFont val="맑은 고딕"/>
        <family val="0"/>
        <charset val="1"/>
      </rPr>
      <t xml:space="preserve">(JPG·PNG·HEIC·WEBP, </t>
    </r>
    <r>
      <rPr>
        <sz val="10"/>
        <rFont val="Noto Sans CJK SC"/>
        <family val="2"/>
      </rPr>
      <t xml:space="preserve">장당 </t>
    </r>
    <r>
      <rPr>
        <sz val="10"/>
        <rFont val="맑은 고딕"/>
        <family val="0"/>
        <charset val="1"/>
      </rPr>
      <t xml:space="preserve">10MB)</t>
    </r>
    <r>
      <rPr>
        <sz val="10"/>
        <rFont val="Noto Sans CJK SC"/>
        <family val="2"/>
      </rPr>
      <t xml:space="preserve">와 영상</t>
    </r>
    <r>
      <rPr>
        <sz val="10"/>
        <rFont val="맑은 고딕"/>
        <family val="0"/>
        <charset val="1"/>
      </rPr>
      <t xml:space="preserve">(MP4·MOV, 100MB·60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형식과 용량을 검증한다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</si>
  <si>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영상 업로드 추가에 따라 검증 대상 확대</t>
    </r>
  </si>
  <si>
    <t xml:space="preserve">PST-003</t>
  </si>
  <si>
    <t xml:space="preserve">게시물 생성</t>
  </si>
  <si>
    <r>
      <rPr>
        <sz val="10"/>
        <rFont val="Noto Sans CJK SC"/>
        <family val="2"/>
      </rPr>
      <t xml:space="preserve">사진 </t>
    </r>
    <r>
      <rPr>
        <sz val="10"/>
        <rFont val="맑은 고딕"/>
        <family val="0"/>
        <charset val="1"/>
      </rPr>
      <t xml:space="preserve">0~10</t>
    </r>
    <r>
      <rPr>
        <sz val="10"/>
        <rFont val="Noto Sans CJK SC"/>
        <family val="2"/>
      </rPr>
      <t xml:space="preserve">장과 글을 함께 등록하여 게시물을 생성할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</si>
  <si>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F-04-02 / </t>
    </r>
    <r>
      <rPr>
        <sz val="9"/>
        <color rgb="FF595959"/>
        <rFont val="Noto Sans CJK SC"/>
        <family val="2"/>
      </rPr>
      <t xml:space="preserve">사진과 글이 하나의 게시물</t>
    </r>
  </si>
  <si>
    <t xml:space="preserve">PST-004</t>
  </si>
  <si>
    <t xml:space="preserve">텍스트 전용 게시물</t>
  </si>
  <si>
    <r>
      <rPr>
        <sz val="10"/>
        <rFont val="Noto Sans CJK SC"/>
        <family val="2"/>
      </rPr>
      <t xml:space="preserve">사진 없이 글만으로도 게시물을 등록할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</si>
  <si>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이미지 </t>
    </r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장 허용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질문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자유글</t>
    </r>
  </si>
  <si>
    <t xml:space="preserve">PST-005</t>
  </si>
  <si>
    <t xml:space="preserve">본문 유효성 검증</t>
  </si>
  <si>
    <r>
      <rPr>
        <sz val="10"/>
        <rFont val="Noto Sans CJK SC"/>
        <family val="2"/>
      </rPr>
      <t xml:space="preserve">제목과 본문 중 최소 하나는 입력해야 한다</t>
    </r>
    <r>
      <rPr>
        <sz val="10"/>
        <rFont val="맑은 고딕"/>
        <family val="0"/>
        <charset val="1"/>
      </rPr>
      <t xml:space="preserve">.</t>
    </r>
  </si>
  <si>
    <t xml:space="preserve">POST_001</t>
  </si>
  <si>
    <t xml:space="preserve">PST-006</t>
  </si>
  <si>
    <t xml:space="preserve">카메라 촬영 업로드</t>
  </si>
  <si>
    <r>
      <rPr>
        <sz val="10"/>
        <rFont val="Noto Sans CJK SC"/>
        <family val="2"/>
      </rPr>
      <t xml:space="preserve">앱 카메라로 즉시 촬영한 사진을 업로드할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</si>
  <si>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nav </t>
    </r>
    <r>
      <rPr>
        <sz val="9"/>
        <color rgb="FF595959"/>
        <rFont val="Noto Sans CJK SC"/>
        <family val="2"/>
      </rPr>
      <t xml:space="preserve">중앙 </t>
    </r>
    <r>
      <rPr>
        <sz val="9"/>
        <color rgb="FF595959"/>
        <rFont val="맑은 고딕"/>
        <family val="0"/>
        <charset val="1"/>
      </rPr>
      <t xml:space="preserve">[+] → </t>
    </r>
    <r>
      <rPr>
        <sz val="9"/>
        <color rgb="FF595959"/>
        <rFont val="Noto Sans CJK SC"/>
        <family val="2"/>
      </rPr>
      <t xml:space="preserve">지금 촬영하기 </t>
    </r>
    <r>
      <rPr>
        <sz val="9"/>
        <color rgb="FF595959"/>
        <rFont val="맑은 고딕"/>
        <family val="0"/>
        <charset val="1"/>
      </rPr>
      <t xml:space="preserve">/ source=CAMERA</t>
    </r>
  </si>
  <si>
    <t xml:space="preserve">PST-007</t>
  </si>
  <si>
    <t xml:space="preserve">앨범 선택 업로드</t>
  </si>
  <si>
    <r>
      <rPr>
        <sz val="10"/>
        <rFont val="Noto Sans CJK SC"/>
        <family val="2"/>
      </rPr>
      <t xml:space="preserve">앨범에서 선택한 사진을 </t>
    </r>
    <r>
      <rPr>
        <sz val="10"/>
        <rFont val="맑은 고딕"/>
        <family val="0"/>
        <charset val="1"/>
      </rPr>
      <t xml:space="preserve">EXIF </t>
    </r>
    <r>
      <rPr>
        <sz val="10"/>
        <rFont val="Noto Sans CJK SC"/>
        <family val="2"/>
      </rPr>
      <t xml:space="preserve">위치 정보와 함께 업로드할 수 있다</t>
    </r>
    <r>
      <rPr>
        <sz val="10"/>
        <rFont val="맑은 고딕"/>
        <family val="0"/>
        <charset val="1"/>
      </rPr>
      <t xml:space="preserve">.</t>
    </r>
  </si>
  <si>
    <t xml:space="preserve">source=GALLERY</t>
  </si>
  <si>
    <t xml:space="preserve">PST-029</t>
  </si>
  <si>
    <t xml:space="preserve">업로드 화면 내 장소 선택</t>
  </si>
  <si>
    <r>
      <rPr>
        <sz val="10"/>
        <rFont val="Noto Sans CJK SC"/>
        <family val="2"/>
      </rPr>
      <t xml:space="preserve">게시글 작성 화면 안에서 촬영 좌표 기준 주변 장소를 선택하거나 새 장소를 만들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</si>
  <si>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★ 흐름 변경으로 필수화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장소를 못 정하면 인증 등급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랭킹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방문 기록이 전부 동작하지 않음</t>
    </r>
  </si>
  <si>
    <t xml:space="preserve">PST-008</t>
  </si>
  <si>
    <t xml:space="preserve">이미지 후처리</t>
  </si>
  <si>
    <r>
      <rPr>
        <sz val="10"/>
        <rFont val="Noto Sans CJK SC"/>
        <family val="2"/>
      </rPr>
      <t xml:space="preserve">업로드된 이미지의 썸네일 생성</t>
    </r>
    <r>
      <rPr>
        <sz val="10"/>
        <rFont val="맑은 고딕"/>
        <family val="0"/>
        <charset val="1"/>
      </rPr>
      <t xml:space="preserve">·EXIF </t>
    </r>
    <r>
      <rPr>
        <sz val="10"/>
        <rFont val="Noto Sans CJK SC"/>
        <family val="2"/>
      </rPr>
      <t xml:space="preserve">개인정보 제거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해시 계산을 비동기로 처리한다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</si>
  <si>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응답을 막지 않도록 </t>
    </r>
    <r>
      <rPr>
        <sz val="9"/>
        <color rgb="FF595959"/>
        <rFont val="맑은 고딕"/>
        <family val="0"/>
        <charset val="1"/>
      </rPr>
      <t xml:space="preserve">@Async</t>
    </r>
  </si>
  <si>
    <t xml:space="preserve">PST-009</t>
  </si>
  <si>
    <t xml:space="preserve">위치 인증</t>
  </si>
  <si>
    <t xml:space="preserve">위치 신뢰도 판정</t>
  </si>
  <si>
    <r>
      <rPr>
        <sz val="10"/>
        <rFont val="Noto Sans CJK SC"/>
        <family val="2"/>
      </rPr>
      <t xml:space="preserve">촬영 좌표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촬영 시각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촬영 방식으로 게시물의 위치 신뢰도 등급을 자동 판정한다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</si>
  <si>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⭐ 핵심 기능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서버가 판정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프론트 값 불신</t>
    </r>
  </si>
  <si>
    <t xml:space="preserve">PST-010</t>
  </si>
  <si>
    <t xml:space="preserve">현장 인증 등급</t>
  </si>
  <si>
    <r>
      <rPr>
        <sz val="10"/>
        <rFont val="Noto Sans CJK SC"/>
        <family val="2"/>
      </rPr>
      <t xml:space="preserve">앱 카메라로 촬영 후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분 이내이고 장소 반경 안이면 현장 인증</t>
    </r>
    <r>
      <rPr>
        <sz val="10"/>
        <rFont val="맑은 고딕"/>
        <family val="0"/>
        <charset val="1"/>
      </rPr>
      <t xml:space="preserve">(T1)</t>
    </r>
    <r>
      <rPr>
        <sz val="10"/>
        <rFont val="Noto Sans CJK SC"/>
        <family val="2"/>
      </rPr>
      <t xml:space="preserve">으로 판정한다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</si>
  <si>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랭킹 가중치 </t>
    </r>
    <r>
      <rPr>
        <sz val="9"/>
        <color rgb="FF595959"/>
        <rFont val="맑은 고딕"/>
        <family val="0"/>
        <charset val="1"/>
      </rPr>
      <t xml:space="preserve">3.0</t>
    </r>
  </si>
  <si>
    <t xml:space="preserve">PST-011</t>
  </si>
  <si>
    <t xml:space="preserve">위치 확인 등급</t>
  </si>
  <si>
    <r>
      <rPr>
        <sz val="10"/>
        <rFont val="Noto Sans CJK SC"/>
        <family val="2"/>
      </rPr>
      <t xml:space="preserve">촬영 시각이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이내이고 장소 반경 안이면 위치 확인</t>
    </r>
    <r>
      <rPr>
        <sz val="10"/>
        <rFont val="맑은 고딕"/>
        <family val="0"/>
        <charset val="1"/>
      </rPr>
      <t xml:space="preserve">(T2)</t>
    </r>
    <r>
      <rPr>
        <sz val="10"/>
        <rFont val="Noto Sans CJK SC"/>
        <family val="2"/>
      </rPr>
      <t xml:space="preserve">으로 판정한다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</si>
  <si>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랭킹 가중치 </t>
    </r>
    <r>
      <rPr>
        <sz val="9"/>
        <color rgb="FF595959"/>
        <rFont val="맑은 고딕"/>
        <family val="0"/>
        <charset val="1"/>
      </rPr>
      <t xml:space="preserve">1.8</t>
    </r>
  </si>
  <si>
    <t xml:space="preserve">PST-012</t>
  </si>
  <si>
    <t xml:space="preserve">위치 미확인 등급</t>
  </si>
  <si>
    <r>
      <rPr>
        <sz val="10"/>
        <rFont val="Noto Sans CJK SC"/>
        <family val="2"/>
      </rPr>
      <t xml:space="preserve">좌표가 없거나 반경 밖이면 위치 미확인</t>
    </r>
    <r>
      <rPr>
        <sz val="10"/>
        <rFont val="맑은 고딕"/>
        <family val="0"/>
        <charset val="1"/>
      </rPr>
      <t xml:space="preserve">(T3)</t>
    </r>
    <r>
      <rPr>
        <sz val="10"/>
        <rFont val="Noto Sans CJK SC"/>
        <family val="2"/>
      </rPr>
      <t xml:space="preserve">으로 판정하고 랭킹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히트맵에서 제외한다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</si>
  <si>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가중치 </t>
    </r>
    <r>
      <rPr>
        <sz val="9"/>
        <color rgb="FF595959"/>
        <rFont val="맑은 고딕"/>
        <family val="0"/>
        <charset val="1"/>
      </rPr>
      <t xml:space="preserve">0</t>
    </r>
  </si>
  <si>
    <t xml:space="preserve">PST-013</t>
  </si>
  <si>
    <t xml:space="preserve">장소별 인증 반경</t>
  </si>
  <si>
    <r>
      <rPr>
        <sz val="10"/>
        <rFont val="Noto Sans CJK SC"/>
        <family val="2"/>
      </rPr>
      <t xml:space="preserve">장소마다 인증 반경을 다르게 설정할 수 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관광지 </t>
    </r>
    <r>
      <rPr>
        <sz val="10"/>
        <rFont val="맑은 고딕"/>
        <family val="0"/>
        <charset val="1"/>
      </rPr>
      <t xml:space="preserve">500m, </t>
    </r>
    <r>
      <rPr>
        <sz val="10"/>
        <rFont val="Noto Sans CJK SC"/>
        <family val="2"/>
      </rPr>
      <t xml:space="preserve">사용자 장소 </t>
    </r>
    <r>
      <rPr>
        <sz val="10"/>
        <rFont val="맑은 고딕"/>
        <family val="0"/>
        <charset val="1"/>
      </rPr>
      <t xml:space="preserve">100m).</t>
    </r>
  </si>
  <si>
    <t xml:space="preserve">넓은 명소는 개별 조정</t>
  </si>
  <si>
    <t xml:space="preserve">PST-014</t>
  </si>
  <si>
    <t xml:space="preserve">판정 근거 로깅</t>
  </si>
  <si>
    <r>
      <rPr>
        <sz val="10"/>
        <rFont val="Noto Sans CJK SC"/>
        <family val="2"/>
      </rPr>
      <t xml:space="preserve">위치 판정의 입력값과 결과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사유를 로그로 남긴다</t>
    </r>
    <r>
      <rPr>
        <sz val="10"/>
        <rFont val="맑은 고딕"/>
        <family val="0"/>
        <charset val="1"/>
      </rPr>
      <t xml:space="preserve">.</t>
    </r>
  </si>
  <si>
    <t xml:space="preserve">심사 시 판별 근거 제시용</t>
  </si>
  <si>
    <t xml:space="preserve">PST-015</t>
  </si>
  <si>
    <t xml:space="preserve">업로드 제한</t>
  </si>
  <si>
    <t xml:space="preserve">일일 게시물 한도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</si>
  <si>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인당 하루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개까지 게시물을 등록할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</si>
  <si>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KST </t>
    </r>
    <r>
      <rPr>
        <sz val="9"/>
        <color rgb="FF595959"/>
        <rFont val="Noto Sans CJK SC"/>
        <family val="2"/>
      </rPr>
      <t xml:space="preserve">자정 기준</t>
    </r>
  </si>
  <si>
    <t xml:space="preserve">PST-016</t>
  </si>
  <si>
    <t xml:space="preserve">장소별 게시물 한도</t>
  </si>
  <si>
    <r>
      <rPr>
        <sz val="10"/>
        <rFont val="Noto Sans CJK SC"/>
        <family val="2"/>
      </rPr>
      <t xml:space="preserve">동일 장소에 하루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개까지 게시물을 등록할 수 있다</t>
    </r>
    <r>
      <rPr>
        <sz val="10"/>
        <rFont val="맑은 고딕"/>
        <family val="0"/>
        <charset val="1"/>
      </rPr>
      <t xml:space="preserve">.</t>
    </r>
  </si>
  <si>
    <t xml:space="preserve">PST-017</t>
  </si>
  <si>
    <t xml:space="preserve">중복 이미지 차단</t>
  </si>
  <si>
    <r>
      <rPr>
        <sz val="10"/>
        <rFont val="Noto Sans CJK SC"/>
        <family val="2"/>
      </rPr>
      <t xml:space="preserve">동일한 이미지를 중복 업로드할 수 없다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</si>
  <si>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SHA-256 </t>
    </r>
    <r>
      <rPr>
        <sz val="9"/>
        <color rgb="FF595959"/>
        <rFont val="Noto Sans CJK SC"/>
        <family val="2"/>
      </rPr>
      <t xml:space="preserve">해시 비교</t>
    </r>
  </si>
  <si>
    <t xml:space="preserve">PST-018</t>
  </si>
  <si>
    <t xml:space="preserve">업로드 정지</t>
  </si>
  <si>
    <r>
      <rPr>
        <sz val="10"/>
        <rFont val="Noto Sans CJK SC"/>
        <family val="2"/>
      </rPr>
      <t xml:space="preserve">신고가 누적된 사용자는 일정 기간 업로드할 수 없다</t>
    </r>
    <r>
      <rPr>
        <sz val="10"/>
        <rFont val="맑은 고딕"/>
        <family val="0"/>
        <charset val="1"/>
      </rPr>
      <t xml:space="preserve">.</t>
    </r>
  </si>
  <si>
    <t xml:space="preserve">PST-019</t>
  </si>
  <si>
    <t xml:space="preserve">게시물 관리</t>
  </si>
  <si>
    <t xml:space="preserve">게시물 조회</t>
  </si>
  <si>
    <r>
      <rPr>
        <sz val="10"/>
        <rFont val="Noto Sans CJK SC"/>
        <family val="2"/>
      </rPr>
      <t xml:space="preserve">등록된 게시물의 본문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작성자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 정보를 조회할 수 있다</t>
    </r>
    <r>
      <rPr>
        <sz val="10"/>
        <rFont val="맑은 고딕"/>
        <family val="0"/>
        <charset val="1"/>
      </rPr>
      <t xml:space="preserve">.</t>
    </r>
  </si>
  <si>
    <t xml:space="preserve">PST-020</t>
  </si>
  <si>
    <t xml:space="preserve">게시물 수정</t>
  </si>
  <si>
    <r>
      <rPr>
        <sz val="10"/>
        <rFont val="Noto Sans CJK SC"/>
        <family val="2"/>
      </rPr>
      <t xml:space="preserve">자신이 작성한 게시물의 제목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본문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이미지를 수정할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</si>
  <si>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위치와 </t>
    </r>
    <r>
      <rPr>
        <sz val="9"/>
        <color rgb="FF595959"/>
        <rFont val="맑은 고딕"/>
        <family val="0"/>
        <charset val="1"/>
      </rPr>
      <t xml:space="preserve">Tier</t>
    </r>
    <r>
      <rPr>
        <sz val="9"/>
        <color rgb="FF595959"/>
        <rFont val="Noto Sans CJK SC"/>
        <family val="2"/>
      </rPr>
      <t xml:space="preserve">는 수정 불가 — 인증 체계 보호</t>
    </r>
  </si>
  <si>
    <t xml:space="preserve">PST-021</t>
  </si>
  <si>
    <t xml:space="preserve">게시물 삭제</t>
  </si>
  <si>
    <r>
      <rPr>
        <sz val="10"/>
        <rFont val="Noto Sans CJK SC"/>
        <family val="2"/>
      </rPr>
      <t xml:space="preserve">자신이 작성한 게시물을 삭제할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</si>
  <si>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soft delete / </t>
    </r>
    <r>
      <rPr>
        <sz val="9"/>
        <color rgb="FF595959"/>
        <rFont val="Noto Sans CJK SC"/>
        <family val="2"/>
      </rPr>
      <t xml:space="preserve">이미지는 </t>
    </r>
    <r>
      <rPr>
        <sz val="9"/>
        <color rgb="FF595959"/>
        <rFont val="맑은 고딕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일 후 배치 삭제</t>
    </r>
  </si>
  <si>
    <t xml:space="preserve">PST-022</t>
  </si>
  <si>
    <t xml:space="preserve">게시물 목록 조회</t>
  </si>
  <si>
    <r>
      <rPr>
        <sz val="10"/>
        <rFont val="Noto Sans CJK SC"/>
        <family val="2"/>
      </rPr>
      <t xml:space="preserve">지역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 유무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기간으로 게시물을 필터링하여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</si>
  <si>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'</t>
    </r>
    <r>
      <rPr>
        <b val="true"/>
        <sz val="9"/>
        <color rgb="FFC00000"/>
        <rFont val="Noto Sans CJK SC"/>
        <family val="2"/>
      </rPr>
      <t xml:space="preserve">이번주 인기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를 위해 기간 필터 추가</t>
    </r>
  </si>
  <si>
    <t xml:space="preserve">PST-038</t>
  </si>
  <si>
    <t xml:space="preserve">대표 미디어 비율 제공</t>
  </si>
  <si>
    <r>
      <rPr>
        <sz val="10"/>
        <rFont val="Noto Sans CJK SC"/>
        <family val="2"/>
      </rPr>
      <t xml:space="preserve">목록 응답에 대표 미디어의 가로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세로 비율을 포함한다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</si>
  <si>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★ 게시판이 높이가 다른 격자</t>
    </r>
    <r>
      <rPr>
        <b val="true"/>
        <sz val="9"/>
        <color rgb="FFC00000"/>
        <rFont val="맑은 고딕"/>
        <family val="0"/>
        <charset val="1"/>
      </rPr>
      <t xml:space="preserve">(masonry) </t>
    </r>
    <r>
      <rPr>
        <b val="true"/>
        <sz val="9"/>
        <color rgb="FFC00000"/>
        <rFont val="Noto Sans CJK SC"/>
        <family val="2"/>
      </rPr>
      <t xml:space="preserve">레이아웃이라 필요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비율이 없으면 앱이 이미지를 다 받은 뒤에야 높이를 알아 레이아웃이 튄다</t>
    </r>
  </si>
  <si>
    <t xml:space="preserve">PST-023</t>
  </si>
  <si>
    <t xml:space="preserve">게시물 정렬</t>
  </si>
  <si>
    <r>
      <rPr>
        <sz val="10"/>
        <rFont val="Noto Sans CJK SC"/>
        <family val="2"/>
      </rPr>
      <t xml:space="preserve">최신순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인기순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댓글순으로 게시물을 정렬할 수 있다</t>
    </r>
    <r>
      <rPr>
        <sz val="10"/>
        <rFont val="맑은 고딕"/>
        <family val="0"/>
        <charset val="1"/>
      </rPr>
      <t xml:space="preserve">.</t>
    </r>
  </si>
  <si>
    <t xml:space="preserve">PST-030</t>
  </si>
  <si>
    <t xml:space="preserve">기간별 인기 게시물 조회</t>
  </si>
  <si>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일주일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한달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전체 기간 기준으로 인기 게시물을 순서대로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</si>
  <si>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기간 구분이 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이번주</t>
    </r>
    <r>
      <rPr>
        <b val="true"/>
        <sz val="9"/>
        <color rgb="FFC00000"/>
        <rFont val="맑은 고딕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전체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에서 </t>
    </r>
    <r>
      <rPr>
        <b val="true"/>
        <sz val="9"/>
        <color rgb="FFC00000"/>
        <rFont val="맑은 고딕"/>
        <family val="0"/>
        <charset val="1"/>
      </rPr>
      <t xml:space="preserve">4</t>
    </r>
    <r>
      <rPr>
        <b val="true"/>
        <sz val="9"/>
        <color rgb="FFC00000"/>
        <rFont val="Noto Sans CJK SC"/>
        <family val="2"/>
      </rPr>
      <t xml:space="preserve">단계로 확정됨</t>
    </r>
  </si>
  <si>
    <t xml:space="preserve">PST-031</t>
  </si>
  <si>
    <t xml:space="preserve">팔로잉 가중치 정렬</t>
  </si>
  <si>
    <r>
      <rPr>
        <sz val="10"/>
        <rFont val="Noto Sans CJK SC"/>
        <family val="2"/>
      </rPr>
      <t xml:space="preserve">게시물 목록에서 팔로우한 사용자의 게시물이 우선 노출되도록 정렬 가중치를 적용한다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</si>
  <si>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팔로잉 가중치 </t>
    </r>
    <r>
      <rPr>
        <b val="true"/>
        <sz val="9"/>
        <color rgb="FFC00000"/>
        <rFont val="맑은 고딕"/>
        <family val="0"/>
        <charset val="1"/>
      </rPr>
      <t xml:space="preserve">· </t>
    </r>
    <r>
      <rPr>
        <b val="true"/>
        <sz val="9"/>
        <color rgb="FFC00000"/>
        <rFont val="Noto Sans CJK SC"/>
        <family val="2"/>
      </rPr>
      <t xml:space="preserve">실시간 정의 확정 반영 ★ 팔로우 기능의 주 활용처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기본 정렬을 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추천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으로 두고 팔로잉 보너스</t>
    </r>
    <r>
      <rPr>
        <b val="true"/>
        <sz val="9"/>
        <color rgb="FFC00000"/>
        <rFont val="맑은 고딕"/>
        <family val="0"/>
        <charset val="1"/>
      </rPr>
      <t xml:space="preserve">+</t>
    </r>
    <r>
      <rPr>
        <b val="true"/>
        <sz val="9"/>
        <color rgb="FFC00000"/>
        <rFont val="Noto Sans CJK SC"/>
        <family val="2"/>
      </rPr>
      <t xml:space="preserve">인기</t>
    </r>
    <r>
      <rPr>
        <b val="true"/>
        <sz val="9"/>
        <color rgb="FFC00000"/>
        <rFont val="맑은 고딕"/>
        <family val="0"/>
        <charset val="1"/>
      </rPr>
      <t xml:space="preserve">+</t>
    </r>
    <r>
      <rPr>
        <b val="true"/>
        <sz val="9"/>
        <color rgb="FFC00000"/>
        <rFont val="Noto Sans CJK SC"/>
        <family val="2"/>
      </rPr>
      <t xml:space="preserve">최신을 혼합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가중치를 너무 세게 주면 새로운 발견이 막히므로 상수로 분리해 튜닝 가능하게 할 것</t>
    </r>
  </si>
  <si>
    <t xml:space="preserve">PST-032</t>
  </si>
  <si>
    <t xml:space="preserve">개인화 범위 제한</t>
  </si>
  <si>
    <r>
      <rPr>
        <sz val="10"/>
        <rFont val="Noto Sans CJK SC"/>
        <family val="2"/>
      </rPr>
      <t xml:space="preserve">팔로잉 가중치는 목록 첫 페이지에만 적용하고 그 이후는 공통 정렬을 사용한다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</si>
  <si>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팔로잉 가중치 </t>
    </r>
    <r>
      <rPr>
        <b val="true"/>
        <sz val="9"/>
        <color rgb="FFC00000"/>
        <rFont val="맑은 고딕"/>
        <family val="0"/>
        <charset val="1"/>
      </rPr>
      <t xml:space="preserve">· </t>
    </r>
    <r>
      <rPr>
        <b val="true"/>
        <sz val="9"/>
        <color rgb="FFC00000"/>
        <rFont val="Noto Sans CJK SC"/>
        <family val="2"/>
      </rPr>
      <t xml:space="preserve">실시간 정의 확정 반영 ★ 전체 개인화를 하면 사용자마다 순서가 달라 목록 캐시를 전혀 쓸 수 없음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첫 페이지만 개인화하면 체감 효과는 그대로 두고 캐시를 유지할 수 있음</t>
    </r>
  </si>
  <si>
    <t xml:space="preserve">PST-033</t>
  </si>
  <si>
    <t xml:space="preserve">팔로잉 작성자 표시</t>
  </si>
  <si>
    <r>
      <rPr>
        <sz val="10"/>
        <rFont val="Noto Sans CJK SC"/>
        <family val="2"/>
      </rPr>
      <t xml:space="preserve">목록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상세 응답에 작성자를 내가 팔로우 중인지 여부를 함께 제공한다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</si>
  <si>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팔로잉 가중치 </t>
    </r>
    <r>
      <rPr>
        <b val="true"/>
        <sz val="9"/>
        <color rgb="FFC00000"/>
        <rFont val="맑은 고딕"/>
        <family val="0"/>
        <charset val="1"/>
      </rPr>
      <t xml:space="preserve">· </t>
    </r>
    <r>
      <rPr>
        <b val="true"/>
        <sz val="9"/>
        <color rgb="FFC00000"/>
        <rFont val="Noto Sans CJK SC"/>
        <family val="2"/>
      </rPr>
      <t xml:space="preserve">실시간 정의 확정 반영 앱이 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팔로잉</t>
    </r>
    <r>
      <rPr>
        <b val="true"/>
        <sz val="9"/>
        <color rgb="FFC00000"/>
        <rFont val="맑은 고딕"/>
        <family val="0"/>
        <charset val="1"/>
      </rPr>
      <t xml:space="preserve">' </t>
    </r>
    <r>
      <rPr>
        <b val="true"/>
        <sz val="9"/>
        <color rgb="FFC00000"/>
        <rFont val="Noto Sans CJK SC"/>
        <family val="2"/>
      </rPr>
      <t xml:space="preserve">뱃지를 표시해 가중치가 적용된 이유를 사용자가 알 수 있게 함</t>
    </r>
  </si>
  <si>
    <t xml:space="preserve">PST-034</t>
  </si>
  <si>
    <t xml:space="preserve">영상</t>
  </si>
  <si>
    <t xml:space="preserve">영상 업로드</t>
  </si>
  <si>
    <r>
      <rPr>
        <sz val="10"/>
        <rFont val="Noto Sans CJK SC"/>
        <family val="2"/>
      </rPr>
      <t xml:space="preserve">게시물에 영상을 첨부하여 업로드할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</si>
  <si>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이벤트 탭 논의에서 나온 요구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길이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용량 제한 필수</t>
    </r>
  </si>
  <si>
    <t xml:space="preserve">PST-035</t>
  </si>
  <si>
    <t xml:space="preserve">영상 썸네일 추출</t>
  </si>
  <si>
    <r>
      <rPr>
        <sz val="10"/>
        <rFont val="Noto Sans CJK SC"/>
        <family val="2"/>
      </rPr>
      <t xml:space="preserve">업로드된 영상의 첫 프레임을 추출하여 썸네일로 사용한다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</si>
  <si>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서버에서 </t>
    </r>
    <r>
      <rPr>
        <b val="true"/>
        <sz val="9"/>
        <color rgb="FFC00000"/>
        <rFont val="맑은 고딕"/>
        <family val="0"/>
        <charset val="1"/>
      </rPr>
      <t xml:space="preserve">ffmpeg </t>
    </r>
    <r>
      <rPr>
        <b val="true"/>
        <sz val="9"/>
        <color rgb="FFC00000"/>
        <rFont val="Noto Sans CJK SC"/>
        <family val="2"/>
      </rPr>
      <t xml:space="preserve">처리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처리 시간이 걸리므로 비동기 </t>
    </r>
    <r>
      <rPr>
        <b val="true"/>
        <sz val="9"/>
        <color rgb="FFC00000"/>
        <rFont val="맑은 고딕"/>
        <family val="0"/>
        <charset val="1"/>
      </rPr>
      <t xml:space="preserve">+ </t>
    </r>
    <r>
      <rPr>
        <b val="true"/>
        <sz val="9"/>
        <color rgb="FFC00000"/>
        <rFont val="Noto Sans CJK SC"/>
        <family val="2"/>
      </rPr>
      <t xml:space="preserve">처리중 상태 표시 필요</t>
    </r>
  </si>
  <si>
    <t xml:space="preserve">PST-036</t>
  </si>
  <si>
    <t xml:space="preserve">영상 처리 상태 관리</t>
  </si>
  <si>
    <r>
      <rPr>
        <sz val="10"/>
        <rFont val="Noto Sans CJK SC"/>
        <family val="2"/>
      </rPr>
      <t xml:space="preserve">영상은 처리 완료 전까지 처리중 상태로 표시하고 완료 후 노출한다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</si>
  <si>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처리 실패 시 재시도 또는 사용자 안내</t>
    </r>
  </si>
  <si>
    <t xml:space="preserve">PST-037</t>
  </si>
  <si>
    <t xml:space="preserve">영상 재생 비용 대응</t>
  </si>
  <si>
    <r>
      <rPr>
        <sz val="10"/>
        <rFont val="Noto Sans CJK SC"/>
        <family val="2"/>
      </rPr>
      <t xml:space="preserve">영상은 </t>
    </r>
    <r>
      <rPr>
        <sz val="10"/>
        <rFont val="맑은 고딕"/>
        <family val="0"/>
        <charset val="1"/>
      </rPr>
      <t xml:space="preserve">CDN</t>
    </r>
    <r>
      <rPr>
        <sz val="10"/>
        <rFont val="Noto Sans CJK SC"/>
        <family val="2"/>
      </rPr>
      <t xml:space="preserve">을 통해 전송하여 전송 비용과 지연을 줄인다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</si>
  <si>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★ 영상은 이미지와 트래픽 규모가 다르다</t>
    </r>
    <r>
      <rPr>
        <b val="true"/>
        <sz val="9"/>
        <color rgb="FFC00000"/>
        <rFont val="맑은 고딕"/>
        <family val="0"/>
        <charset val="1"/>
      </rPr>
      <t xml:space="preserve">. S3 </t>
    </r>
    <r>
      <rPr>
        <b val="true"/>
        <sz val="9"/>
        <color rgb="FFC00000"/>
        <rFont val="Noto Sans CJK SC"/>
        <family val="2"/>
      </rPr>
      <t xml:space="preserve">직접 전송만 쓰면 비용이 빠르게 커짐</t>
    </r>
  </si>
  <si>
    <t xml:space="preserve">PST-024</t>
  </si>
  <si>
    <t xml:space="preserve">반응</t>
  </si>
  <si>
    <t xml:space="preserve">좋아요</t>
  </si>
  <si>
    <r>
      <rPr>
        <sz val="10"/>
        <rFont val="Noto Sans CJK SC"/>
        <family val="2"/>
      </rPr>
      <t xml:space="preserve">게시물에 좋아요를 등록하거나 취소할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</si>
  <si>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사용자당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회 토글</t>
    </r>
  </si>
  <si>
    <t xml:space="preserve">PST-025</t>
  </si>
  <si>
    <t xml:space="preserve">좋아요 랭킹 제외</t>
  </si>
  <si>
    <r>
      <rPr>
        <sz val="10"/>
        <rFont val="Noto Sans CJK SC"/>
        <family val="2"/>
      </rPr>
      <t xml:space="preserve">자신의 게시물에 누른 좋아요는 랭킹 점수에서 제외한다</t>
    </r>
    <r>
      <rPr>
        <sz val="10"/>
        <rFont val="맑은 고딕"/>
        <family val="0"/>
        <charset val="1"/>
      </rPr>
      <t xml:space="preserve">.</t>
    </r>
  </si>
  <si>
    <t xml:space="preserve">자가 조작 방지</t>
  </si>
  <si>
    <t xml:space="preserve">PST-026</t>
  </si>
  <si>
    <t xml:space="preserve">조회수 집계</t>
  </si>
  <si>
    <t xml:space="preserve">PST-027</t>
  </si>
  <si>
    <t xml:space="preserve">신고</t>
  </si>
  <si>
    <t xml:space="preserve">게시물 신고</t>
  </si>
  <si>
    <r>
      <rPr>
        <sz val="10"/>
        <rFont val="Noto Sans CJK SC"/>
        <family val="2"/>
      </rPr>
      <t xml:space="preserve">부적절한 게시물을 사유와 함께 신고할 수 있다</t>
    </r>
    <r>
      <rPr>
        <sz val="10"/>
        <rFont val="맑은 고딕"/>
        <family val="0"/>
        <charset val="1"/>
      </rPr>
      <t xml:space="preserve">.</t>
    </r>
  </si>
  <si>
    <t xml:space="preserve">동일 대상 중복 신고 불가</t>
  </si>
  <si>
    <t xml:space="preserve">PST-028</t>
  </si>
  <si>
    <t xml:space="preserve">자동 블라인드</t>
  </si>
  <si>
    <r>
      <rPr>
        <sz val="10"/>
        <rFont val="Noto Sans CJK SC"/>
        <family val="2"/>
      </rPr>
      <t xml:space="preserve">신고가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회 누적되면 게시물을 자동으로 숨기고 작성자의 업로드를 제한한다</t>
    </r>
    <r>
      <rPr>
        <sz val="10"/>
        <rFont val="맑은 고딕"/>
        <family val="0"/>
        <charset val="1"/>
      </rPr>
      <t xml:space="preserve">.</t>
    </r>
  </si>
  <si>
    <t xml:space="preserve">CMU-001</t>
  </si>
  <si>
    <t xml:space="preserve">커뮤니티</t>
  </si>
  <si>
    <t xml:space="preserve">지역 게시판</t>
  </si>
  <si>
    <t xml:space="preserve">커뮤니티 홈 조회</t>
  </si>
  <si>
    <r>
      <rPr>
        <sz val="10"/>
        <rFont val="Noto Sans CJK SC"/>
        <family val="2"/>
      </rPr>
      <t xml:space="preserve">커뮤니티 탭에서 검색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인기 사진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추천을 함께 제공한다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</si>
  <si>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커뮤니티가 내비게이션 </t>
    </r>
    <r>
      <rPr>
        <b val="true"/>
        <sz val="9"/>
        <color rgb="FFC00000"/>
        <rFont val="맑은 고딕"/>
        <family val="0"/>
        <charset val="1"/>
      </rPr>
      <t xml:space="preserve">2</t>
    </r>
    <r>
      <rPr>
        <b val="true"/>
        <sz val="9"/>
        <color rgb="FFC00000"/>
        <rFont val="Noto Sans CJK SC"/>
        <family val="2"/>
      </rPr>
      <t xml:space="preserve">번째 탭으로 승격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검색이 이 안으로 들어옴</t>
    </r>
  </si>
  <si>
    <t xml:space="preserve">CMU-002</t>
  </si>
  <si>
    <t xml:space="preserve">지역별 게시물 분류</t>
  </si>
  <si>
    <r>
      <rPr>
        <sz val="10"/>
        <rFont val="Noto Sans CJK SC"/>
        <family val="2"/>
      </rPr>
      <t xml:space="preserve">게시물을 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개 시도 커뮤니티로 자동 분류한다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</si>
  <si>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좌표 있으면 자동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없으면 사용자 선택</t>
    </r>
  </si>
  <si>
    <t xml:space="preserve">CMU-003</t>
  </si>
  <si>
    <t xml:space="preserve">게시물 카테고리</t>
  </si>
  <si>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코스추천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자유 카테고리로 게시물을 분류한다</t>
    </r>
    <r>
      <rPr>
        <sz val="10"/>
        <rFont val="맑은 고딕"/>
        <family val="0"/>
        <charset val="1"/>
      </rPr>
      <t xml:space="preserve">.</t>
    </r>
  </si>
  <si>
    <t xml:space="preserve">CMU-016</t>
  </si>
  <si>
    <t xml:space="preserve">지역별 인기 사진 조회</t>
  </si>
  <si>
    <r>
      <rPr>
        <sz val="10"/>
        <rFont val="Noto Sans CJK SC"/>
        <family val="2"/>
      </rPr>
      <t xml:space="preserve">커뮤니티 메인에서 해당 지역의 인기 사진을 격자로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</si>
  <si>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사진이 있는 게시물만 대상</t>
    </r>
  </si>
  <si>
    <t xml:space="preserve">CMU-017</t>
  </si>
  <si>
    <t xml:space="preserve">인기 사진 전체 보기</t>
  </si>
  <si>
    <r>
      <rPr>
        <sz val="10"/>
        <rFont val="Noto Sans CJK SC"/>
        <family val="2"/>
      </rPr>
      <t xml:space="preserve">이번주 인기 사진에서 더보기를 선택하면 전체 인기 사진을 순서대로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</si>
  <si>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페이지네이션 필요</t>
    </r>
  </si>
  <si>
    <t xml:space="preserve">CMU-004</t>
  </si>
  <si>
    <t xml:space="preserve">댓글</t>
  </si>
  <si>
    <t xml:space="preserve">댓글 작성</t>
  </si>
  <si>
    <r>
      <rPr>
        <sz val="10"/>
        <rFont val="Noto Sans CJK SC"/>
        <family val="2"/>
      </rPr>
      <t xml:space="preserve">게시물에 댓글을 작성할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</si>
  <si>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1~1000</t>
    </r>
    <r>
      <rPr>
        <sz val="9"/>
        <color rgb="FF595959"/>
        <rFont val="Noto Sans CJK SC"/>
        <family val="2"/>
      </rPr>
      <t xml:space="preserve">자</t>
    </r>
  </si>
  <si>
    <t xml:space="preserve">CMU-005</t>
  </si>
  <si>
    <t xml:space="preserve">댓글 조회</t>
  </si>
  <si>
    <r>
      <rPr>
        <sz val="10"/>
        <rFont val="Noto Sans CJK SC"/>
        <family val="2"/>
      </rPr>
      <t xml:space="preserve">게시물의 댓글과 대댓글을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</si>
  <si>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N+1 </t>
    </r>
    <r>
      <rPr>
        <sz val="9"/>
        <color rgb="FF595959"/>
        <rFont val="Noto Sans CJK SC"/>
        <family val="2"/>
      </rPr>
      <t xml:space="preserve">주의 — 자식 댓글은 </t>
    </r>
    <r>
      <rPr>
        <sz val="9"/>
        <color rgb="FF595959"/>
        <rFont val="맑은 고딕"/>
        <family val="0"/>
        <charset val="1"/>
      </rPr>
      <t xml:space="preserve">IN </t>
    </r>
    <r>
      <rPr>
        <sz val="9"/>
        <color rgb="FF595959"/>
        <rFont val="Noto Sans CJK SC"/>
        <family val="2"/>
      </rPr>
      <t xml:space="preserve">절로 일괄 조회</t>
    </r>
  </si>
  <si>
    <t xml:space="preserve">CMU-006</t>
  </si>
  <si>
    <t xml:space="preserve">대댓글 작성</t>
  </si>
  <si>
    <r>
      <rPr>
        <sz val="10"/>
        <rFont val="Noto Sans CJK SC"/>
        <family val="2"/>
      </rPr>
      <t xml:space="preserve">댓글에 대댓글을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단계까지 작성할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</si>
  <si>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무한 트리는 </t>
    </r>
    <r>
      <rPr>
        <sz val="9"/>
        <color rgb="FF595959"/>
        <rFont val="맑은 고딕"/>
        <family val="0"/>
        <charset val="1"/>
      </rPr>
      <t xml:space="preserve">UI·</t>
    </r>
    <r>
      <rPr>
        <sz val="9"/>
        <color rgb="FF595959"/>
        <rFont val="Noto Sans CJK SC"/>
        <family val="2"/>
      </rPr>
      <t xml:space="preserve">쿼리 모두 부담</t>
    </r>
  </si>
  <si>
    <t xml:space="preserve">CMU-007</t>
  </si>
  <si>
    <t xml:space="preserve">댓글 수정</t>
  </si>
  <si>
    <r>
      <rPr>
        <sz val="10"/>
        <rFont val="Noto Sans CJK SC"/>
        <family val="2"/>
      </rPr>
      <t xml:space="preserve">자신이 작성한 댓글을 수정할 수 있다</t>
    </r>
    <r>
      <rPr>
        <sz val="10"/>
        <rFont val="맑은 고딕"/>
        <family val="0"/>
        <charset val="1"/>
      </rPr>
      <t xml:space="preserve">.</t>
    </r>
  </si>
  <si>
    <t xml:space="preserve">CMU-008</t>
  </si>
  <si>
    <t xml:space="preserve">댓글 삭제</t>
  </si>
  <si>
    <r>
      <rPr>
        <sz val="10"/>
        <rFont val="Noto Sans CJK SC"/>
        <family val="2"/>
      </rPr>
      <t xml:space="preserve">자신이 작성한 댓글을 삭제할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</si>
  <si>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자식 댓글이 있으면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삭제된 댓글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로 표시하고 자식 유지</t>
    </r>
  </si>
  <si>
    <t xml:space="preserve">CMU-009</t>
  </si>
  <si>
    <t xml:space="preserve">댓글 좋아요</t>
  </si>
  <si>
    <r>
      <rPr>
        <sz val="10"/>
        <rFont val="Noto Sans CJK SC"/>
        <family val="2"/>
      </rPr>
      <t xml:space="preserve">댓글에 좋아요를 등록하거나 취소할 수 있다</t>
    </r>
    <r>
      <rPr>
        <sz val="10"/>
        <rFont val="맑은 고딕"/>
        <family val="0"/>
        <charset val="1"/>
      </rPr>
      <t xml:space="preserve">.</t>
    </r>
  </si>
  <si>
    <t xml:space="preserve">CMU-010</t>
  </si>
  <si>
    <t xml:space="preserve">저장</t>
  </si>
  <si>
    <t xml:space="preserve">게시물 저장</t>
  </si>
  <si>
    <r>
      <rPr>
        <sz val="10"/>
        <rFont val="Noto Sans CJK SC"/>
        <family val="2"/>
      </rPr>
      <t xml:space="preserve">원하는 게시물을 저장하고 다시 조회할 수 있다</t>
    </r>
    <r>
      <rPr>
        <sz val="10"/>
        <rFont val="맑은 고딕"/>
        <family val="0"/>
        <charset val="1"/>
      </rPr>
      <t xml:space="preserve">.</t>
    </r>
  </si>
  <si>
    <t xml:space="preserve">북마크</t>
  </si>
  <si>
    <t xml:space="preserve">CMU-011</t>
  </si>
  <si>
    <t xml:space="preserve">장소 저장</t>
  </si>
  <si>
    <r>
      <rPr>
        <sz val="10"/>
        <rFont val="Noto Sans CJK SC"/>
        <family val="2"/>
      </rPr>
      <t xml:space="preserve">가고 싶은 장소를 저장하고 다시 조회할 수 있다</t>
    </r>
    <r>
      <rPr>
        <sz val="10"/>
        <rFont val="맑은 고딕"/>
        <family val="0"/>
        <charset val="1"/>
      </rPr>
      <t xml:space="preserve">.</t>
    </r>
  </si>
  <si>
    <t xml:space="preserve">CMU-012</t>
  </si>
  <si>
    <t xml:space="preserve">저장 목록 조회</t>
  </si>
  <si>
    <r>
      <rPr>
        <sz val="10"/>
        <rFont val="Noto Sans CJK SC"/>
        <family val="2"/>
      </rPr>
      <t xml:space="preserve">저장한 게시물과 장소를 마이페이지에서 조회할 수 있다</t>
    </r>
    <r>
      <rPr>
        <sz val="10"/>
        <rFont val="맑은 고딕"/>
        <family val="0"/>
        <charset val="1"/>
      </rPr>
      <t xml:space="preserve">.</t>
    </r>
  </si>
  <si>
    <t xml:space="preserve">CMU-013</t>
  </si>
  <si>
    <t xml:space="preserve">해시태그</t>
  </si>
  <si>
    <r>
      <rPr>
        <sz val="10"/>
        <rFont val="Noto Sans CJK SC"/>
        <family val="2"/>
      </rPr>
      <t xml:space="preserve">해시태그 추출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정규화</t>
    </r>
  </si>
  <si>
    <r>
      <rPr>
        <sz val="10"/>
        <rFont val="Noto Sans CJK SC"/>
        <family val="2"/>
      </rPr>
      <t xml:space="preserve">본문에서 </t>
    </r>
    <r>
      <rPr>
        <sz val="10"/>
        <rFont val="맑은 고딕"/>
        <family val="0"/>
        <charset val="1"/>
      </rPr>
      <t xml:space="preserve">#</t>
    </r>
    <r>
      <rPr>
        <sz val="10"/>
        <rFont val="Noto Sans CJK SC"/>
        <family val="2"/>
      </rPr>
      <t xml:space="preserve">으로 시작하는 문자열을 태그로 추출하고 소문자로 정규화한다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</si>
  <si>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자동 추천은 </t>
    </r>
    <r>
      <rPr>
        <b val="true"/>
        <sz val="9"/>
        <color rgb="FFC00000"/>
        <rFont val="맑은 고딕"/>
        <family val="0"/>
        <charset val="1"/>
      </rPr>
      <t xml:space="preserve">CMU-018~020 </t>
    </r>
    <r>
      <rPr>
        <b val="true"/>
        <sz val="9"/>
        <color rgb="FFC00000"/>
        <rFont val="Noto Sans CJK SC"/>
        <family val="2"/>
      </rPr>
      <t xml:space="preserve">으로 분리</t>
    </r>
  </si>
  <si>
    <t xml:space="preserve">CMU-018</t>
  </si>
  <si>
    <t xml:space="preserve">지역 태그 자동 추천</t>
  </si>
  <si>
    <r>
      <rPr>
        <sz val="10"/>
        <rFont val="Noto Sans CJK SC"/>
        <family val="2"/>
      </rPr>
      <t xml:space="preserve">업로드 시 촬영 위치의 시도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시군구 이름을 태그로 자동 추천한다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</si>
  <si>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와이어프레임의 </t>
    </r>
    <r>
      <rPr>
        <b val="true"/>
        <sz val="9"/>
        <color rgb="FFC00000"/>
        <rFont val="맑은 고딕"/>
        <family val="0"/>
        <charset val="1"/>
      </rPr>
      <t xml:space="preserve">#</t>
    </r>
    <r>
      <rPr>
        <b val="true"/>
        <sz val="9"/>
        <color rgb="FFC00000"/>
        <rFont val="Noto Sans CJK SC"/>
        <family val="2"/>
      </rPr>
      <t xml:space="preserve">경주 에 해당</t>
    </r>
  </si>
  <si>
    <t xml:space="preserve">CMU-019</t>
  </si>
  <si>
    <t xml:space="preserve">카테고리 태그 자동 추천</t>
  </si>
  <si>
    <r>
      <rPr>
        <sz val="10"/>
        <rFont val="Noto Sans CJK SC"/>
        <family val="2"/>
      </rPr>
      <t xml:space="preserve">선택한 장소의 분류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문화시설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음식점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태그로 자동 추천한다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</si>
  <si>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와이어프레임의 </t>
    </r>
    <r>
      <rPr>
        <b val="true"/>
        <sz val="9"/>
        <color rgb="FFC00000"/>
        <rFont val="맑은 고딕"/>
        <family val="0"/>
        <charset val="1"/>
      </rPr>
      <t xml:space="preserve">#</t>
    </r>
    <r>
      <rPr>
        <b val="true"/>
        <sz val="9"/>
        <color rgb="FFC00000"/>
        <rFont val="Noto Sans CJK SC"/>
        <family val="2"/>
      </rPr>
      <t xml:space="preserve">축제 에 해당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관광공사 분류 코드를 태그명으로 매핑하는 표가 필요</t>
    </r>
  </si>
  <si>
    <t xml:space="preserve">CMU-020</t>
  </si>
  <si>
    <t xml:space="preserve">진행중 행사 태그 자동 추천</t>
  </si>
  <si>
    <r>
      <rPr>
        <sz val="10"/>
        <rFont val="Noto Sans CJK SC"/>
        <family val="2"/>
      </rPr>
      <t xml:space="preserve">촬영 위치 주변에서 촬영 시점에 진행중인 행사가 있으면 행사명을 태그로 자동 추천한다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</si>
  <si>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★ 와이어프레임의 </t>
    </r>
    <r>
      <rPr>
        <b val="true"/>
        <sz val="9"/>
        <color rgb="FFC00000"/>
        <rFont val="맑은 고딕"/>
        <family val="0"/>
        <charset val="1"/>
      </rPr>
      <t xml:space="preserve">#2026 oo</t>
    </r>
    <r>
      <rPr>
        <b val="true"/>
        <sz val="9"/>
        <color rgb="FFC00000"/>
        <rFont val="Noto Sans CJK SC"/>
        <family val="2"/>
      </rPr>
      <t xml:space="preserve">축제 에 해당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행사 기간 </t>
    </r>
    <r>
      <rPr>
        <b val="true"/>
        <sz val="9"/>
        <color rgb="FFC00000"/>
        <rFont val="맑은 고딕"/>
        <family val="0"/>
        <charset val="1"/>
      </rPr>
      <t xml:space="preserve">+ </t>
    </r>
    <r>
      <rPr>
        <b val="true"/>
        <sz val="9"/>
        <color rgb="FFC00000"/>
        <rFont val="Noto Sans CJK SC"/>
        <family val="2"/>
      </rPr>
      <t xml:space="preserve">좌표 반경이 모두 겹쳐야 추천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관광공사 축제 데이터 적재가 선행되어야 함</t>
    </r>
  </si>
  <si>
    <t xml:space="preserve">CMU-021</t>
  </si>
  <si>
    <t xml:space="preserve">추천 태그 채택 구분</t>
  </si>
  <si>
    <r>
      <rPr>
        <sz val="10"/>
        <rFont val="Noto Sans CJK SC"/>
        <family val="2"/>
      </rPr>
      <t xml:space="preserve">자동 추천된 태그와 사용자가 직접 입력한 태그를 구분하여 저장한다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</si>
  <si>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추천 채택률을 봐야 추천 로직을 개선할 수 있음</t>
    </r>
  </si>
  <si>
    <t xml:space="preserve">CMU-014</t>
  </si>
  <si>
    <t xml:space="preserve">태그로 게시물 검색</t>
  </si>
  <si>
    <r>
      <rPr>
        <sz val="10"/>
        <rFont val="Noto Sans CJK SC"/>
        <family val="2"/>
      </rPr>
      <t xml:space="preserve">해시태그를 선택하면 해당 태그가 달린 게시물을 조회할 수 있다</t>
    </r>
    <r>
      <rPr>
        <sz val="10"/>
        <rFont val="맑은 고딕"/>
        <family val="0"/>
        <charset val="1"/>
      </rPr>
      <t xml:space="preserve">.</t>
    </r>
  </si>
  <si>
    <t xml:space="preserve">CMU-015</t>
  </si>
  <si>
    <t xml:space="preserve">인기 태그 조회</t>
  </si>
  <si>
    <r>
      <rPr>
        <sz val="10"/>
        <rFont val="Noto Sans CJK SC"/>
        <family val="2"/>
      </rPr>
      <t xml:space="preserve">지역별로 많이 사용된 해시태그를 조회할 수 있다</t>
    </r>
    <r>
      <rPr>
        <sz val="10"/>
        <rFont val="맑은 고딕"/>
        <family val="0"/>
        <charset val="1"/>
      </rPr>
      <t xml:space="preserve">.</t>
    </r>
  </si>
  <si>
    <t xml:space="preserve">CMU-022</t>
  </si>
  <si>
    <t xml:space="preserve">지역별 태그 목록 조회</t>
  </si>
  <si>
    <r>
      <rPr>
        <sz val="10"/>
        <rFont val="Noto Sans CJK SC"/>
        <family val="2"/>
      </rPr>
      <t xml:space="preserve">지역 게시판의 태그별 탭에서 해당 지역의 태그 목록을 게시물 수 순으로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</si>
  <si>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매 요청 집계하지 않고 배치로 미리 만든 집계를 읽는다</t>
    </r>
  </si>
  <si>
    <t xml:space="preserve">MAP-001</t>
  </si>
  <si>
    <t xml:space="preserve">지도 및 탐색</t>
  </si>
  <si>
    <t xml:space="preserve">히트맵</t>
  </si>
  <si>
    <t xml:space="preserve">히트맵 조회</t>
  </si>
  <si>
    <r>
      <rPr>
        <sz val="10"/>
        <rFont val="Noto Sans CJK SC"/>
        <family val="2"/>
      </rPr>
      <t xml:space="preserve">메인 지도에서 지역별 게시물 밀집도를 히트맵으로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</si>
  <si>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⭐ 메인 랜딩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매 요청 집계 금지</t>
    </r>
  </si>
  <si>
    <t xml:space="preserve">MAP-002</t>
  </si>
  <si>
    <t xml:space="preserve">줌 레벨별 격자</t>
  </si>
  <si>
    <r>
      <rPr>
        <sz val="10"/>
        <rFont val="Noto Sans CJK SC"/>
        <family val="2"/>
      </rPr>
      <t xml:space="preserve">지도 줌 레벨에 따라 히트맵 격자 크기를 자동 조정한다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</si>
  <si>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단계</t>
    </r>
    <r>
      <rPr>
        <sz val="9"/>
        <color rgb="FF595959"/>
        <rFont val="맑은 고딕"/>
        <family val="0"/>
        <charset val="1"/>
      </rPr>
      <t xml:space="preserve">(1</t>
    </r>
    <r>
      <rPr>
        <sz val="9"/>
        <color rgb="FF595959"/>
        <rFont val="Noto Sans CJK SC"/>
        <family val="2"/>
      </rPr>
      <t xml:space="preserve">도</t>
    </r>
    <r>
      <rPr>
        <sz val="9"/>
        <color rgb="FF595959"/>
        <rFont val="맑은 고딕"/>
        <family val="0"/>
        <charset val="1"/>
      </rPr>
      <t xml:space="preserve">/0.1</t>
    </r>
    <r>
      <rPr>
        <sz val="9"/>
        <color rgb="FF595959"/>
        <rFont val="Noto Sans CJK SC"/>
        <family val="2"/>
      </rPr>
      <t xml:space="preserve">도</t>
    </r>
    <r>
      <rPr>
        <sz val="9"/>
        <color rgb="FF595959"/>
        <rFont val="맑은 고딕"/>
        <family val="0"/>
        <charset val="1"/>
      </rPr>
      <t xml:space="preserve">/0.01</t>
    </r>
    <r>
      <rPr>
        <sz val="9"/>
        <color rgb="FF595959"/>
        <rFont val="Noto Sans CJK SC"/>
        <family val="2"/>
      </rPr>
      <t xml:space="preserve">도</t>
    </r>
    <r>
      <rPr>
        <sz val="9"/>
        <color rgb="FF595959"/>
        <rFont val="맑은 고딕"/>
        <family val="0"/>
        <charset val="1"/>
      </rPr>
      <t xml:space="preserve">/0.001</t>
    </r>
    <r>
      <rPr>
        <sz val="9"/>
        <color rgb="FF595959"/>
        <rFont val="Noto Sans CJK SC"/>
        <family val="2"/>
      </rPr>
      <t xml:space="preserve">도</t>
    </r>
    <r>
      <rPr>
        <sz val="9"/>
        <color rgb="FF595959"/>
        <rFont val="맑은 고딕"/>
        <family val="0"/>
        <charset val="1"/>
      </rPr>
      <t xml:space="preserve">)</t>
    </r>
  </si>
  <si>
    <t xml:space="preserve">MAP-003</t>
  </si>
  <si>
    <t xml:space="preserve">밀집도 정규화</t>
  </si>
  <si>
    <r>
      <rPr>
        <sz val="10"/>
        <rFont val="Noto Sans CJK SC"/>
        <family val="2"/>
      </rPr>
      <t xml:space="preserve">격자별 집계값을 </t>
    </r>
    <r>
      <rPr>
        <sz val="10"/>
        <rFont val="맑은 고딕"/>
        <family val="0"/>
        <charset val="1"/>
      </rPr>
      <t xml:space="preserve">0~1 </t>
    </r>
    <r>
      <rPr>
        <sz val="10"/>
        <rFont val="Noto Sans CJK SC"/>
        <family val="2"/>
      </rPr>
      <t xml:space="preserve">범위로 정규화하여 제공한다</t>
    </r>
    <r>
      <rPr>
        <sz val="10"/>
        <rFont val="맑은 고딕"/>
        <family val="0"/>
        <charset val="1"/>
      </rPr>
      <t xml:space="preserve">.</t>
    </r>
  </si>
  <si>
    <t xml:space="preserve">로그 정규화 — 선형은 서울만 진하고 지방이 투명해짐</t>
  </si>
  <si>
    <t xml:space="preserve">MAP-004</t>
  </si>
  <si>
    <t xml:space="preserve">히트맵 집계 배치</t>
  </si>
  <si>
    <r>
      <rPr>
        <sz val="10"/>
        <rFont val="Noto Sans CJK SC"/>
        <family val="2"/>
      </rPr>
      <t xml:space="preserve">히트맵을 실시간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 레이어로 나누어 집계한다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실시간은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분 주기로 갱신한다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</si>
  <si>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메인이 실시간 트래픽 지도가 되면서 갱신 주기 분리 필요</t>
    </r>
  </si>
  <si>
    <t xml:space="preserve">MAP-005</t>
  </si>
  <si>
    <t xml:space="preserve">기간별 히트맵</t>
  </si>
  <si>
    <r>
      <rPr>
        <sz val="10"/>
        <rFont val="Noto Sans CJK SC"/>
        <family val="2"/>
      </rPr>
      <t xml:space="preserve">실시간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전체 기간을 선택하여 히트맵을 볼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기본값은 실시간이다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</si>
  <si>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기본값이 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주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에서 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실시간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으로 변경됨</t>
    </r>
  </si>
  <si>
    <t xml:space="preserve">MAP-006</t>
  </si>
  <si>
    <t xml:space="preserve">격자 대표 장소</t>
  </si>
  <si>
    <r>
      <rPr>
        <sz val="10"/>
        <rFont val="Noto Sans CJK SC"/>
        <family val="2"/>
      </rPr>
      <t xml:space="preserve">히트맵 격자를 선택하면 해당 구역의 대표 장소를 확인할 수 있다</t>
    </r>
    <r>
      <rPr>
        <sz val="10"/>
        <rFont val="맑은 고딕"/>
        <family val="0"/>
        <charset val="1"/>
      </rPr>
      <t xml:space="preserve">.</t>
    </r>
  </si>
  <si>
    <t xml:space="preserve">MAP-007</t>
  </si>
  <si>
    <t xml:space="preserve">응답 크기 제한</t>
  </si>
  <si>
    <r>
      <rPr>
        <sz val="10"/>
        <rFont val="Noto Sans CJK SC"/>
        <family val="2"/>
      </rPr>
      <t xml:space="preserve">화면 범위 내 격자가 많으면 상위 </t>
    </r>
    <r>
      <rPr>
        <sz val="10"/>
        <rFont val="맑은 고딕"/>
        <family val="0"/>
        <charset val="1"/>
      </rPr>
      <t xml:space="preserve">500</t>
    </r>
    <r>
      <rPr>
        <sz val="10"/>
        <rFont val="Noto Sans CJK SC"/>
        <family val="2"/>
      </rPr>
      <t xml:space="preserve">개만 반환하고 초과 여부를 알린다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</si>
  <si>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프론트는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더 확대해보세요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힌트 표시</t>
    </r>
  </si>
  <si>
    <t xml:space="preserve">MAP-014</t>
  </si>
  <si>
    <t xml:space="preserve">실시간 트래픽 조회</t>
  </si>
  <si>
    <r>
      <rPr>
        <sz val="10"/>
        <rFont val="Noto Sans CJK SC"/>
        <family val="2"/>
      </rPr>
      <t xml:space="preserve">최근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시간 안에 게시물이 올라온 구역을 실시간 트래픽으로 표시한다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서버는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분 단위로 갱신된 결과를 제공한다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</si>
  <si>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확정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웹소켓</t>
    </r>
    <r>
      <rPr>
        <b val="true"/>
        <sz val="9"/>
        <color rgb="FFC00000"/>
        <rFont val="맑은 고딕"/>
        <family val="0"/>
        <charset val="1"/>
      </rPr>
      <t xml:space="preserve">·SSE </t>
    </r>
    <r>
      <rPr>
        <b val="true"/>
        <sz val="9"/>
        <color rgb="FFC00000"/>
        <rFont val="Noto Sans CJK SC"/>
        <family val="2"/>
      </rPr>
      <t xml:space="preserve">미사용</t>
    </r>
    <r>
      <rPr>
        <b val="true"/>
        <sz val="9"/>
        <color rgb="FFC00000"/>
        <rFont val="맑은 고딕"/>
        <family val="0"/>
        <charset val="1"/>
      </rPr>
      <t xml:space="preserve">. 1</t>
    </r>
    <r>
      <rPr>
        <b val="true"/>
        <sz val="9"/>
        <color rgb="FFC00000"/>
        <rFont val="Noto Sans CJK SC"/>
        <family val="2"/>
      </rPr>
      <t xml:space="preserve">분 캐시 </t>
    </r>
    <r>
      <rPr>
        <b val="true"/>
        <sz val="9"/>
        <color rgb="FFC00000"/>
        <rFont val="맑은 고딕"/>
        <family val="0"/>
        <charset val="1"/>
      </rPr>
      <t xml:space="preserve">+ </t>
    </r>
    <r>
      <rPr>
        <b val="true"/>
        <sz val="9"/>
        <color rgb="FFC00000"/>
        <rFont val="Noto Sans CJK SC"/>
        <family val="2"/>
      </rPr>
      <t xml:space="preserve">앱 폴링</t>
    </r>
    <r>
      <rPr>
        <b val="true"/>
        <sz val="9"/>
        <color rgb="FFC00000"/>
        <rFont val="맑은 고딕"/>
        <family val="0"/>
        <charset val="1"/>
      </rPr>
      <t xml:space="preserve">(60</t>
    </r>
    <r>
      <rPr>
        <b val="true"/>
        <sz val="9"/>
        <color rgb="FFC00000"/>
        <rFont val="Noto Sans CJK SC"/>
        <family val="2"/>
      </rPr>
      <t xml:space="preserve">초</t>
    </r>
    <r>
      <rPr>
        <b val="true"/>
        <sz val="9"/>
        <color rgb="FFC00000"/>
        <rFont val="맑은 고딕"/>
        <family val="0"/>
        <charset val="1"/>
      </rPr>
      <t xml:space="preserve">)</t>
    </r>
    <r>
      <rPr>
        <b val="true"/>
        <sz val="9"/>
        <color rgb="FFC00000"/>
        <rFont val="Noto Sans CJK SC"/>
        <family val="2"/>
      </rPr>
      <t xml:space="preserve">으로 구현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시간당 유입량이 수십 건 수준이라 초 단위 실시간은 의미 없음</t>
    </r>
  </si>
  <si>
    <t xml:space="preserve">MAP-015</t>
  </si>
  <si>
    <t xml:space="preserve">최근 게시 시각 제공</t>
  </si>
  <si>
    <r>
      <rPr>
        <sz val="10"/>
        <rFont val="Noto Sans CJK SC"/>
        <family val="2"/>
      </rPr>
      <t xml:space="preserve">격자별 마지막 게시 시각을 함께 제공하여 앱이 최신 활동을 강조 표시할 수 있게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</si>
  <si>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'</t>
    </r>
    <r>
      <rPr>
        <b val="true"/>
        <sz val="9"/>
        <color rgb="FFC00000"/>
        <rFont val="Noto Sans CJK SC"/>
        <family val="2"/>
      </rPr>
      <t xml:space="preserve">지금 올라오는 중</t>
    </r>
    <r>
      <rPr>
        <b val="true"/>
        <sz val="9"/>
        <color rgb="FFC00000"/>
        <rFont val="맑은 고딕"/>
        <family val="0"/>
        <charset val="1"/>
      </rPr>
      <t xml:space="preserve">' </t>
    </r>
    <r>
      <rPr>
        <b val="true"/>
        <sz val="9"/>
        <color rgb="FFC00000"/>
        <rFont val="Noto Sans CJK SC"/>
        <family val="2"/>
      </rPr>
      <t xml:space="preserve">연출용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서버는 시각만 주고 애니메이션은 앱이 담당</t>
    </r>
  </si>
  <si>
    <t xml:space="preserve">MAP-016</t>
  </si>
  <si>
    <t xml:space="preserve">갱신 주기 서버 제어</t>
  </si>
  <si>
    <r>
      <rPr>
        <sz val="10"/>
        <rFont val="Noto Sans CJK SC"/>
        <family val="2"/>
      </rPr>
      <t xml:space="preserve">히트맵 응답에 다음 갱신 시각을 포함하여 앱이 그 시각 이후에만 재조회하도록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</si>
  <si>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확정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앱이 임의 주기로 폴링하면 서버 부하를 통제할 수 없음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기본 </t>
    </r>
    <r>
      <rPr>
        <b val="true"/>
        <sz val="9"/>
        <color rgb="FFC00000"/>
        <rFont val="맑은 고딕"/>
        <family val="0"/>
        <charset val="1"/>
      </rPr>
      <t xml:space="preserve">60</t>
    </r>
    <r>
      <rPr>
        <b val="true"/>
        <sz val="9"/>
        <color rgb="FFC00000"/>
        <rFont val="Noto Sans CJK SC"/>
        <family val="2"/>
      </rPr>
      <t xml:space="preserve">초</t>
    </r>
  </si>
  <si>
    <t xml:space="preserve">MAP-019</t>
  </si>
  <si>
    <t xml:space="preserve">실시간 레이어 폴백</t>
  </si>
  <si>
    <r>
      <rPr>
        <sz val="10"/>
        <rFont val="Noto Sans CJK SC"/>
        <family val="2"/>
      </rPr>
      <t xml:space="preserve">최근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시간 게시물이 기준치 미만이면 자동으로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 데이터로 대체하여 지도가 비어 보이지 않게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</si>
  <si>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팔로잉 가중치 </t>
    </r>
    <r>
      <rPr>
        <b val="true"/>
        <sz val="9"/>
        <color rgb="FFC00000"/>
        <rFont val="맑은 고딕"/>
        <family val="0"/>
        <charset val="1"/>
      </rPr>
      <t xml:space="preserve">· </t>
    </r>
    <r>
      <rPr>
        <b val="true"/>
        <sz val="9"/>
        <color rgb="FFC00000"/>
        <rFont val="Noto Sans CJK SC"/>
        <family val="2"/>
      </rPr>
      <t xml:space="preserve">실시간 정의 확정 반영 ★ 시연 대비 필수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데이터가 적은 초기에 지도가 텅 비면 실시간 지도라는 컨셉 자체가 무너짐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폴백 여부를 응답에 표시해 앱이 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최근 </t>
    </r>
    <r>
      <rPr>
        <b val="true"/>
        <sz val="9"/>
        <color rgb="FFC00000"/>
        <rFont val="맑은 고딕"/>
        <family val="0"/>
        <charset val="1"/>
      </rPr>
      <t xml:space="preserve">24</t>
    </r>
    <r>
      <rPr>
        <b val="true"/>
        <sz val="9"/>
        <color rgb="FFC00000"/>
        <rFont val="Noto Sans CJK SC"/>
        <family val="2"/>
      </rPr>
      <t xml:space="preserve">시간 기준</t>
    </r>
    <r>
      <rPr>
        <b val="true"/>
        <sz val="9"/>
        <color rgb="FFC00000"/>
        <rFont val="맑은 고딕"/>
        <family val="0"/>
        <charset val="1"/>
      </rPr>
      <t xml:space="preserve">' </t>
    </r>
    <r>
      <rPr>
        <b val="true"/>
        <sz val="9"/>
        <color rgb="FFC00000"/>
        <rFont val="Noto Sans CJK SC"/>
        <family val="2"/>
      </rPr>
      <t xml:space="preserve">라벨을 붙일 수 있게 함</t>
    </r>
  </si>
  <si>
    <t xml:space="preserve">MAP-020</t>
  </si>
  <si>
    <t xml:space="preserve">업로드 직후 즉시 반영</t>
  </si>
  <si>
    <r>
      <rPr>
        <sz val="10"/>
        <rFont val="Noto Sans CJK SC"/>
        <family val="2"/>
      </rPr>
      <t xml:space="preserve">사용자가 게시물을 올린 직후에는 갱신 주기와 무관하게 히트맵을 즉시 다시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</si>
  <si>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팔로잉 가중치 </t>
    </r>
    <r>
      <rPr>
        <b val="true"/>
        <sz val="9"/>
        <color rgb="FFC00000"/>
        <rFont val="맑은 고딕"/>
        <family val="0"/>
        <charset val="1"/>
      </rPr>
      <t xml:space="preserve">· </t>
    </r>
    <r>
      <rPr>
        <b val="true"/>
        <sz val="9"/>
        <color rgb="FFC00000"/>
        <rFont val="Noto Sans CJK SC"/>
        <family val="2"/>
      </rPr>
      <t xml:space="preserve">실시간 정의 확정 반영 시연 중 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지금 올리면 바로 뜨나요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에 대응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앱이 업로드 성공 후 강제 재조회하고 서버는 해당 구역 캐시를 무효화</t>
    </r>
  </si>
  <si>
    <t xml:space="preserve">MAP-021</t>
  </si>
  <si>
    <t xml:space="preserve">지도 레이어</t>
  </si>
  <si>
    <t xml:space="preserve">레이어 전환</t>
  </si>
  <si>
    <r>
      <rPr>
        <sz val="10"/>
        <rFont val="Noto Sans CJK SC"/>
        <family val="2"/>
      </rPr>
      <t xml:space="preserve">홈 지도에서 기본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지역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트래픽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인기 사진 레이어를 전환하여 볼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</si>
  <si>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레이어별로 응답 구조가 달라 엔드포인트를 분리하거나 파라미터로 구분</t>
    </r>
  </si>
  <si>
    <t xml:space="preserve">MAP-022</t>
  </si>
  <si>
    <t xml:space="preserve">인기 사진 마커 조회</t>
  </si>
  <si>
    <r>
      <rPr>
        <sz val="10"/>
        <rFont val="Noto Sans CJK SC"/>
        <family val="2"/>
      </rPr>
      <t xml:space="preserve">지도에 구역별 대표 사진을 썸네일 마커로 표시할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</si>
  <si>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썸네일 </t>
    </r>
    <r>
      <rPr>
        <b val="true"/>
        <sz val="9"/>
        <color rgb="FFC00000"/>
        <rFont val="맑은 고딕"/>
        <family val="0"/>
        <charset val="1"/>
      </rPr>
      <t xml:space="preserve">URL</t>
    </r>
    <r>
      <rPr>
        <b val="true"/>
        <sz val="9"/>
        <color rgb="FFC00000"/>
        <rFont val="Noto Sans CJK SC"/>
        <family val="2"/>
      </rPr>
      <t xml:space="preserve">을 집계 단계에서 미리 저장해 마커를 바로 그릴 수 있게 함</t>
    </r>
  </si>
  <si>
    <t xml:space="preserve">MAP-023</t>
  </si>
  <si>
    <t xml:space="preserve">시도 라벨 좌표 제공</t>
  </si>
  <si>
    <r>
      <rPr>
        <sz val="10"/>
        <rFont val="Noto Sans CJK SC"/>
        <family val="2"/>
      </rPr>
      <t xml:space="preserve">시도별 라벨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터치 기준 좌표를 제공한다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</si>
  <si>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★ 충청북도처럼 얇고 긴 지역은 영역 탭이 어렵다는 문제 제기가 있었음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지역별 대표 좌표를 서버가 주면 앱이 그 지점에 터치 타겟을 놓을 수 있다</t>
    </r>
  </si>
  <si>
    <t xml:space="preserve">MAP-008</t>
  </si>
  <si>
    <t xml:space="preserve">주변 탐색</t>
  </si>
  <si>
    <t xml:space="preserve">주변 장소 탐색</t>
  </si>
  <si>
    <r>
      <rPr>
        <sz val="10"/>
        <rFont val="Noto Sans CJK SC"/>
        <family val="2"/>
      </rPr>
      <t xml:space="preserve">현재 위치 또는 지도에서 선택한 위치 주변의 장소를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</si>
  <si>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업로드 후보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상세 주변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지도 탐색이 동일 </t>
    </r>
    <r>
      <rPr>
        <sz val="9"/>
        <color rgb="FF595959"/>
        <rFont val="맑은 고딕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공유</t>
    </r>
  </si>
  <si>
    <t xml:space="preserve">MAP-009</t>
  </si>
  <si>
    <t xml:space="preserve">반경 조정</t>
  </si>
  <si>
    <r>
      <rPr>
        <sz val="10"/>
        <rFont val="Noto Sans CJK SC"/>
        <family val="2"/>
      </rPr>
      <t xml:space="preserve">탐색 반경을 조정하여 주변 장소를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</si>
  <si>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최대 </t>
    </r>
    <r>
      <rPr>
        <sz val="9"/>
        <color rgb="FF595959"/>
        <rFont val="맑은 고딕"/>
        <family val="0"/>
        <charset val="1"/>
      </rPr>
      <t xml:space="preserve">20km</t>
    </r>
  </si>
  <si>
    <t xml:space="preserve">MAP-010</t>
  </si>
  <si>
    <t xml:space="preserve">최근접 거리 안내</t>
  </si>
  <si>
    <r>
      <rPr>
        <sz val="10"/>
        <rFont val="Noto Sans CJK SC"/>
        <family val="2"/>
      </rPr>
      <t xml:space="preserve">주변에 장소가 없으면 가장 가까운 장소까지의 거리를 안내한다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</si>
  <si>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새 장소 만들기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유도</t>
    </r>
  </si>
  <si>
    <t xml:space="preserve">MAP-011</t>
  </si>
  <si>
    <t xml:space="preserve">인증 가능 여부 표시</t>
  </si>
  <si>
    <r>
      <rPr>
        <sz val="10"/>
        <rFont val="Noto Sans CJK SC"/>
        <family val="2"/>
      </rPr>
      <t xml:space="preserve">선택한 위치에서 현장 인증이 가능한 장소인지 표시한다</t>
    </r>
    <r>
      <rPr>
        <sz val="10"/>
        <rFont val="맑은 고딕"/>
        <family val="0"/>
        <charset val="1"/>
      </rPr>
      <t xml:space="preserve">.</t>
    </r>
  </si>
  <si>
    <t xml:space="preserve">withinVerifyRadius</t>
  </si>
  <si>
    <t xml:space="preserve">MAP-012</t>
  </si>
  <si>
    <t xml:space="preserve">지도 마커</t>
  </si>
  <si>
    <t xml:space="preserve">장소 마커 조회</t>
  </si>
  <si>
    <r>
      <rPr>
        <sz val="10"/>
        <rFont val="Noto Sans CJK SC"/>
        <family val="2"/>
      </rPr>
      <t xml:space="preserve">지도 화면 범위 안의 개별 장소 마커를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</si>
  <si>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상위 </t>
    </r>
    <r>
      <rPr>
        <sz val="9"/>
        <color rgb="FF595959"/>
        <rFont val="맑은 고딕"/>
        <family val="0"/>
        <charset val="1"/>
      </rPr>
      <t xml:space="preserve">200</t>
    </r>
    <r>
      <rPr>
        <sz val="9"/>
        <color rgb="FF595959"/>
        <rFont val="Noto Sans CJK SC"/>
        <family val="2"/>
      </rPr>
      <t xml:space="preserve">개 제한</t>
    </r>
  </si>
  <si>
    <t xml:space="preserve">MAP-017</t>
  </si>
  <si>
    <t xml:space="preserve">지역 진입</t>
  </si>
  <si>
    <t xml:space="preserve">지도 영역 선택 진입</t>
  </si>
  <si>
    <r>
      <rPr>
        <sz val="10"/>
        <rFont val="Noto Sans CJK SC"/>
        <family val="2"/>
      </rPr>
      <t xml:space="preserve">지도에서 시도 영역을 선택하면 해당 지역 커뮤니티로 이동한다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</si>
  <si>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지역 선택 목록 화면이 없어지고 지도가 그 역할을 대체</t>
    </r>
  </si>
  <si>
    <t xml:space="preserve">MAP-018</t>
  </si>
  <si>
    <t xml:space="preserve">시도별 활동량 집계</t>
  </si>
  <si>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개 시도별 최근 활동량을 제공하여 지도에서 지역별 농도를 표시할 수 있게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</si>
  <si>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격자 히트맵과 별개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축소 상태에서 시도 단위로 칠할 값이 필요</t>
    </r>
  </si>
  <si>
    <t xml:space="preserve">MAP-013</t>
  </si>
  <si>
    <t xml:space="preserve">성능</t>
  </si>
  <si>
    <t xml:space="preserve">공간 인덱스 사용</t>
  </si>
  <si>
    <r>
      <rPr>
        <sz val="10"/>
        <rFont val="Noto Sans CJK SC"/>
        <family val="2"/>
      </rPr>
      <t xml:space="preserve">위치 기반 조회는 공간 인덱스를 사용하여 처리한다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</si>
  <si>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MBRContains </t>
    </r>
    <r>
      <rPr>
        <sz val="9"/>
        <color rgb="FF595959"/>
        <rFont val="Noto Sans CJK SC"/>
        <family val="2"/>
      </rPr>
      <t xml:space="preserve">절 필수 — 없으면 풀스캔</t>
    </r>
  </si>
  <si>
    <t xml:space="preserve">VST-001</t>
  </si>
  <si>
    <t xml:space="preserve">방문 기록</t>
  </si>
  <si>
    <t xml:space="preserve">자동 기록</t>
  </si>
  <si>
    <t xml:space="preserve">게시물 방문 자동 기록</t>
  </si>
  <si>
    <r>
      <rPr>
        <sz val="10"/>
        <rFont val="Noto Sans CJK SC"/>
        <family val="2"/>
      </rPr>
      <t xml:space="preserve">위치가 인증된 게시물을 등록하면 방문 기록이 자동으로 생성된다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</si>
  <si>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T1·T2</t>
    </r>
    <r>
      <rPr>
        <sz val="9"/>
        <color rgb="FF595959"/>
        <rFont val="Noto Sans CJK SC"/>
        <family val="2"/>
      </rPr>
      <t xml:space="preserve">만</t>
    </r>
  </si>
  <si>
    <t xml:space="preserve">VST-002</t>
  </si>
  <si>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중복 방지</t>
    </r>
  </si>
  <si>
    <r>
      <rPr>
        <sz val="10"/>
        <rFont val="Noto Sans CJK SC"/>
        <family val="2"/>
      </rPr>
      <t xml:space="preserve">같은 날 같은 장소는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회만 방문으로 기록한다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</si>
  <si>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DB UNIQUE </t>
    </r>
    <r>
      <rPr>
        <sz val="9"/>
        <color rgb="FF595959"/>
        <rFont val="Noto Sans CJK SC"/>
        <family val="2"/>
      </rPr>
      <t xml:space="preserve">제약으로 보장</t>
    </r>
  </si>
  <si>
    <t xml:space="preserve">VST-003</t>
  </si>
  <si>
    <t xml:space="preserve">체크인</t>
  </si>
  <si>
    <t xml:space="preserve">수동 체크인</t>
  </si>
  <si>
    <r>
      <rPr>
        <sz val="10"/>
        <rFont val="Noto Sans CJK SC"/>
        <family val="2"/>
      </rPr>
      <t xml:space="preserve">사진 없이 현재 위치에서 방문을 기록할 수 있다</t>
    </r>
    <r>
      <rPr>
        <sz val="10"/>
        <rFont val="맑은 고딕"/>
        <family val="0"/>
        <charset val="1"/>
      </rPr>
      <t xml:space="preserve">.</t>
    </r>
  </si>
  <si>
    <t xml:space="preserve">인증 반경 안에서만 가능</t>
  </si>
  <si>
    <t xml:space="preserve">VST-004</t>
  </si>
  <si>
    <t xml:space="preserve">조회</t>
  </si>
  <si>
    <t xml:space="preserve">내 방문 기록 조회</t>
  </si>
  <si>
    <r>
      <rPr>
        <sz val="10"/>
        <rFont val="Noto Sans CJK SC"/>
        <family val="2"/>
      </rPr>
      <t xml:space="preserve">자신이 방문한 장소 목록을 최신순으로 조회할 수 있다</t>
    </r>
    <r>
      <rPr>
        <sz val="10"/>
        <rFont val="맑은 고딕"/>
        <family val="0"/>
        <charset val="1"/>
      </rPr>
      <t xml:space="preserve">.</t>
    </r>
  </si>
  <si>
    <t xml:space="preserve">VST-005</t>
  </si>
  <si>
    <t xml:space="preserve">방문 통계 조회</t>
  </si>
  <si>
    <r>
      <rPr>
        <sz val="10"/>
        <rFont val="Noto Sans CJK SC"/>
        <family val="2"/>
      </rPr>
      <t xml:space="preserve">방문한 지역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 수와 지역별 분포를 조회할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</si>
  <si>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'17</t>
    </r>
    <r>
      <rPr>
        <sz val="9"/>
        <color rgb="FF595959"/>
        <rFont val="Noto Sans CJK SC"/>
        <family val="2"/>
      </rPr>
      <t xml:space="preserve">개 시도 중 </t>
    </r>
    <r>
      <rPr>
        <sz val="9"/>
        <color rgb="FF595959"/>
        <rFont val="맑은 고딕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곳 방문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지도 채우기 </t>
    </r>
    <r>
      <rPr>
        <sz val="9"/>
        <color rgb="FF595959"/>
        <rFont val="맑은 고딕"/>
        <family val="0"/>
        <charset val="1"/>
      </rPr>
      <t xml:space="preserve">UI</t>
    </r>
  </si>
  <si>
    <t xml:space="preserve">VST-006</t>
  </si>
  <si>
    <t xml:space="preserve">장소 방문자 조회</t>
  </si>
  <si>
    <r>
      <rPr>
        <sz val="10"/>
        <rFont val="Noto Sans CJK SC"/>
        <family val="2"/>
      </rPr>
      <t xml:space="preserve">특정 장소를 방문한 사용자 목록을 조회할 수 있다</t>
    </r>
    <r>
      <rPr>
        <sz val="10"/>
        <rFont val="맑은 고딕"/>
        <family val="0"/>
        <charset val="1"/>
      </rPr>
      <t xml:space="preserve">.</t>
    </r>
  </si>
  <si>
    <t xml:space="preserve">프로필 탐색 유입</t>
  </si>
  <si>
    <t xml:space="preserve">VST-007</t>
  </si>
  <si>
    <t xml:space="preserve">최근 본 장소</t>
  </si>
  <si>
    <r>
      <rPr>
        <sz val="10"/>
        <rFont val="Noto Sans CJK SC"/>
        <family val="2"/>
      </rPr>
      <t xml:space="preserve">최근에 조회한 장소를 다시 볼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</si>
  <si>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Redis </t>
    </r>
    <r>
      <rPr>
        <sz val="9"/>
        <color rgb="FF595959"/>
        <rFont val="Noto Sans CJK SC"/>
        <family val="2"/>
      </rPr>
      <t xml:space="preserve">관리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유실 무방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</si>
  <si>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NTF-001</t>
  </si>
  <si>
    <t xml:space="preserve">알림</t>
  </si>
  <si>
    <t xml:space="preserve">푸시 발송</t>
  </si>
  <si>
    <t xml:space="preserve">좋아요 알림</t>
  </si>
  <si>
    <r>
      <rPr>
        <sz val="10"/>
        <rFont val="Noto Sans CJK SC"/>
        <family val="2"/>
      </rPr>
      <t xml:space="preserve">자신의 게시물에 좋아요가 등록되면 알림을 받는다</t>
    </r>
    <r>
      <rPr>
        <sz val="10"/>
        <rFont val="맑은 고딕"/>
        <family val="0"/>
        <charset val="1"/>
      </rPr>
      <t xml:space="preserve">.</t>
    </r>
  </si>
  <si>
    <t xml:space="preserve">자기 글 제외</t>
  </si>
  <si>
    <t xml:space="preserve">NTF-002</t>
  </si>
  <si>
    <t xml:space="preserve">댓글 알림</t>
  </si>
  <si>
    <r>
      <rPr>
        <sz val="10"/>
        <rFont val="Noto Sans CJK SC"/>
        <family val="2"/>
      </rPr>
      <t xml:space="preserve">자신의 게시물에 댓글이 달리면 알림을 받는다</t>
    </r>
    <r>
      <rPr>
        <sz val="10"/>
        <rFont val="맑은 고딕"/>
        <family val="0"/>
        <charset val="1"/>
      </rPr>
      <t xml:space="preserve">.</t>
    </r>
  </si>
  <si>
    <t xml:space="preserve">NTF-003</t>
  </si>
  <si>
    <t xml:space="preserve">대댓글 알림</t>
  </si>
  <si>
    <r>
      <rPr>
        <sz val="10"/>
        <rFont val="Noto Sans CJK SC"/>
        <family val="2"/>
      </rPr>
      <t xml:space="preserve">자신의 댓글에 대댓글이 달리면 알림을 받는다</t>
    </r>
    <r>
      <rPr>
        <sz val="10"/>
        <rFont val="맑은 고딕"/>
        <family val="0"/>
        <charset val="1"/>
      </rPr>
      <t xml:space="preserve">.</t>
    </r>
  </si>
  <si>
    <t xml:space="preserve">NTF-004</t>
  </si>
  <si>
    <t xml:space="preserve">팔로우 알림</t>
  </si>
  <si>
    <r>
      <rPr>
        <sz val="10"/>
        <rFont val="Noto Sans CJK SC"/>
        <family val="2"/>
      </rPr>
      <t xml:space="preserve">다른 사용자가 자신을 팔로우하면 알림을 받는다</t>
    </r>
    <r>
      <rPr>
        <sz val="10"/>
        <rFont val="맑은 고딕"/>
        <family val="0"/>
        <charset val="1"/>
      </rPr>
      <t xml:space="preserve">.</t>
    </r>
  </si>
  <si>
    <t xml:space="preserve">NTF-005</t>
  </si>
  <si>
    <t xml:space="preserve">팔로잉 새 글 알림</t>
  </si>
  <si>
    <r>
      <rPr>
        <sz val="10"/>
        <rFont val="Noto Sans CJK SC"/>
        <family val="2"/>
      </rPr>
      <t xml:space="preserve">팔로우한 사용자가 새 게시물을 등록하면 알림을 받는다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</si>
  <si>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팔로워 다수 시 배치 처리 필수</t>
    </r>
    <r>
      <rPr>
        <sz val="9"/>
        <color rgb="FF595959"/>
        <rFont val="맑은 고딕"/>
        <family val="0"/>
        <charset val="1"/>
      </rPr>
      <t xml:space="preserve">(500</t>
    </r>
    <r>
      <rPr>
        <sz val="9"/>
        <color rgb="FF595959"/>
        <rFont val="Noto Sans CJK SC"/>
        <family val="2"/>
      </rPr>
      <t xml:space="preserve">건 단위</t>
    </r>
    <r>
      <rPr>
        <sz val="9"/>
        <color rgb="FF595959"/>
        <rFont val="맑은 고딕"/>
        <family val="0"/>
        <charset val="1"/>
      </rPr>
      <t xml:space="preserve">)</t>
    </r>
  </si>
  <si>
    <t xml:space="preserve">NTF-006</t>
  </si>
  <si>
    <t xml:space="preserve">비동기 처리</t>
  </si>
  <si>
    <r>
      <rPr>
        <sz val="10"/>
        <rFont val="Noto Sans CJK SC"/>
        <family val="2"/>
      </rPr>
      <t xml:space="preserve">알림 생성과 푸시 발송은 본 요청과 분리하여 비동기로 처리한다</t>
    </r>
    <r>
      <rPr>
        <sz val="10"/>
        <rFont val="맑은 고딕"/>
        <family val="0"/>
        <charset val="1"/>
      </rPr>
      <t xml:space="preserve">.</t>
    </r>
  </si>
  <si>
    <t xml:space="preserve">커밋 이후 발송 — 롤백 시 푸시만 나가는 사고 방지</t>
  </si>
  <si>
    <t xml:space="preserve">NTF-007</t>
  </si>
  <si>
    <t xml:space="preserve">다국어 대응</t>
  </si>
  <si>
    <r>
      <rPr>
        <sz val="10"/>
        <rFont val="Noto Sans CJK SC"/>
        <family val="2"/>
      </rPr>
      <t xml:space="preserve">알림 문구는 코드와 파라미터로 전달하여 앱이 언어에 맞게 조립한다</t>
    </r>
    <r>
      <rPr>
        <sz val="10"/>
        <rFont val="맑은 고딕"/>
        <family val="0"/>
        <charset val="1"/>
      </rPr>
      <t xml:space="preserve">.</t>
    </r>
  </si>
  <si>
    <t xml:space="preserve">서버는 완성 문장을 만들지 않음</t>
  </si>
  <si>
    <t xml:space="preserve">NTF-008</t>
  </si>
  <si>
    <t xml:space="preserve">중복 알림 방지</t>
  </si>
  <si>
    <r>
      <rPr>
        <sz val="10"/>
        <rFont val="Noto Sans CJK SC"/>
        <family val="2"/>
      </rPr>
      <t xml:space="preserve">동일 대상에 대한 같은 종류의 알림은 중복 생성하지 않는다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</si>
  <si>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좋아요 취소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재등록 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회</t>
    </r>
  </si>
  <si>
    <t xml:space="preserve">NTF-009</t>
  </si>
  <si>
    <t xml:space="preserve">무효 토큰 정리</t>
  </si>
  <si>
    <r>
      <rPr>
        <sz val="10"/>
        <rFont val="Noto Sans CJK SC"/>
        <family val="2"/>
      </rPr>
      <t xml:space="preserve">발송 실패한 </t>
    </r>
    <r>
      <rPr>
        <sz val="10"/>
        <rFont val="맑은 고딕"/>
        <family val="0"/>
        <charset val="1"/>
      </rPr>
      <t xml:space="preserve">FCM </t>
    </r>
    <r>
      <rPr>
        <sz val="10"/>
        <rFont val="Noto Sans CJK SC"/>
        <family val="2"/>
      </rPr>
      <t xml:space="preserve">토큰을 자동으로 제거한다</t>
    </r>
    <r>
      <rPr>
        <sz val="10"/>
        <rFont val="맑은 고딕"/>
        <family val="0"/>
        <charset val="1"/>
      </rPr>
      <t xml:space="preserve">.</t>
    </r>
  </si>
  <si>
    <t xml:space="preserve">미처리 시 실패율 지속 상승</t>
  </si>
  <si>
    <t xml:space="preserve">NTF-010</t>
  </si>
  <si>
    <t xml:space="preserve">알림함</t>
  </si>
  <si>
    <t xml:space="preserve">알림 목록 조회</t>
  </si>
  <si>
    <r>
      <rPr>
        <sz val="10"/>
        <rFont val="Noto Sans CJK SC"/>
        <family val="2"/>
      </rPr>
      <t xml:space="preserve">받은 알림을 최신순으로 조회할 수 있다</t>
    </r>
    <r>
      <rPr>
        <sz val="10"/>
        <rFont val="맑은 고딕"/>
        <family val="0"/>
        <charset val="1"/>
      </rPr>
      <t xml:space="preserve">.</t>
    </r>
  </si>
  <si>
    <t xml:space="preserve">NTF-011</t>
  </si>
  <si>
    <t xml:space="preserve">안읽은 알림 수 조회</t>
  </si>
  <si>
    <r>
      <rPr>
        <sz val="10"/>
        <rFont val="Noto Sans CJK SC"/>
        <family val="2"/>
      </rPr>
      <t xml:space="preserve">읽지 않은 알림 개수를 조회하고 마이 탭에 뱃지로 표시한다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</si>
  <si>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프론트 화면 변경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내비게이션이 </t>
    </r>
    <r>
      <rPr>
        <b val="true"/>
        <sz val="9"/>
        <color rgb="FFC00000"/>
        <rFont val="맑은 고딕"/>
        <family val="0"/>
        <charset val="1"/>
      </rPr>
      <t xml:space="preserve">4</t>
    </r>
    <r>
      <rPr>
        <b val="true"/>
        <sz val="9"/>
        <color rgb="FFC00000"/>
        <rFont val="Noto Sans CJK SC"/>
        <family val="2"/>
      </rPr>
      <t xml:space="preserve">탭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지도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검색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촬영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마이</t>
    </r>
    <r>
      <rPr>
        <b val="true"/>
        <sz val="9"/>
        <color rgb="FFC00000"/>
        <rFont val="맑은 고딕"/>
        <family val="0"/>
        <charset val="1"/>
      </rPr>
      <t xml:space="preserve">)</t>
    </r>
    <r>
      <rPr>
        <b val="true"/>
        <sz val="9"/>
        <color rgb="FFC00000"/>
        <rFont val="Noto Sans CJK SC"/>
        <family val="2"/>
      </rPr>
      <t xml:space="preserve">이라 알림 탭이 없음 → 마이 탭 뱃지로 이동</t>
    </r>
  </si>
  <si>
    <t xml:space="preserve">NTF-012</t>
  </si>
  <si>
    <t xml:space="preserve">알림 읽음 처리</t>
  </si>
  <si>
    <r>
      <rPr>
        <sz val="10"/>
        <rFont val="Noto Sans CJK SC"/>
        <family val="2"/>
      </rPr>
      <t xml:space="preserve">알림을 개별 또는 전체 읽음 처리할 수 있다</t>
    </r>
    <r>
      <rPr>
        <sz val="10"/>
        <rFont val="맑은 고딕"/>
        <family val="0"/>
        <charset val="1"/>
      </rPr>
      <t xml:space="preserve">.</t>
    </r>
  </si>
  <si>
    <t xml:space="preserve">NTF-013</t>
  </si>
  <si>
    <t xml:space="preserve">오래된 알림 정리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</si>
  <si>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일이 지난 읽은 알림을 자동으로 삭제한다</t>
    </r>
    <r>
      <rPr>
        <sz val="10"/>
        <rFont val="맑은 고딕"/>
        <family val="0"/>
        <charset val="1"/>
      </rPr>
      <t xml:space="preserve">.</t>
    </r>
  </si>
  <si>
    <t xml:space="preserve">RNK-001</t>
  </si>
  <si>
    <t xml:space="preserve">랭킹 및 추천</t>
  </si>
  <si>
    <t xml:space="preserve">랭킹</t>
  </si>
  <si>
    <t xml:space="preserve">지역별 랭킹 조회</t>
  </si>
  <si>
    <r>
      <rPr>
        <sz val="10"/>
        <rFont val="Noto Sans CJK SC"/>
        <family val="2"/>
      </rPr>
      <t xml:space="preserve">지역별 인기 장소 순위를 조회할 수 있다</t>
    </r>
    <r>
      <rPr>
        <sz val="10"/>
        <rFont val="맑은 고딕"/>
        <family val="0"/>
        <charset val="1"/>
      </rPr>
      <t xml:space="preserve">.</t>
    </r>
  </si>
  <si>
    <t xml:space="preserve">조회 시 계산 금지 — 스냅샷 테이블만 읽음</t>
  </si>
  <si>
    <t xml:space="preserve">RNK-002</t>
  </si>
  <si>
    <t xml:space="preserve">전국 랭킹 조회</t>
  </si>
  <si>
    <r>
      <rPr>
        <sz val="10"/>
        <rFont val="Noto Sans CJK SC"/>
        <family val="2"/>
      </rPr>
      <t xml:space="preserve">전국 기준 인기 장소 순위를 조회할 수 있다</t>
    </r>
    <r>
      <rPr>
        <sz val="10"/>
        <rFont val="맑은 고딕"/>
        <family val="0"/>
        <charset val="1"/>
      </rPr>
      <t xml:space="preserve">.</t>
    </r>
  </si>
  <si>
    <t xml:space="preserve">RNK-003</t>
  </si>
  <si>
    <t xml:space="preserve">기간별 랭킹</t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</si>
  <si>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전체 기간별 랭킹을 조회할 수 있다</t>
    </r>
    <r>
      <rPr>
        <sz val="10"/>
        <rFont val="맑은 고딕"/>
        <family val="0"/>
        <charset val="1"/>
      </rPr>
      <t xml:space="preserve">.</t>
    </r>
  </si>
  <si>
    <t xml:space="preserve">RNK-004</t>
  </si>
  <si>
    <t xml:space="preserve">테마별 랭킹</t>
  </si>
  <si>
    <r>
      <rPr>
        <sz val="10"/>
        <rFont val="Noto Sans CJK SC"/>
        <family val="2"/>
      </rPr>
      <t xml:space="preserve">자연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음식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축제 등 테마별 랭킹을 조회할 수 있다</t>
    </r>
    <r>
      <rPr>
        <sz val="10"/>
        <rFont val="맑은 고딕"/>
        <family val="0"/>
        <charset val="1"/>
      </rPr>
      <t xml:space="preserve">.</t>
    </r>
  </si>
  <si>
    <t xml:space="preserve">분류 코드 매핑 필요</t>
  </si>
  <si>
    <t xml:space="preserve">RNK-005</t>
  </si>
  <si>
    <t xml:space="preserve">숨은 명소 랭킹</t>
  </si>
  <si>
    <r>
      <rPr>
        <sz val="10"/>
        <rFont val="Noto Sans CJK SC"/>
        <family val="2"/>
      </rPr>
      <t xml:space="preserve">사용자가 등록한 장소만을 대상으로 한 별도 랭킹을 조회할 수 있다</t>
    </r>
    <r>
      <rPr>
        <sz val="10"/>
        <rFont val="맑은 고딕"/>
        <family val="0"/>
        <charset val="1"/>
      </rPr>
      <t xml:space="preserve">.</t>
    </r>
  </si>
  <si>
    <t xml:space="preserve">공모전 차별 포인트</t>
  </si>
  <si>
    <t xml:space="preserve">RNK-006</t>
  </si>
  <si>
    <t xml:space="preserve">랭킹 점수 산정</t>
  </si>
  <si>
    <r>
      <rPr>
        <sz val="10"/>
        <rFont val="Noto Sans CJK SC"/>
        <family val="2"/>
      </rPr>
      <t xml:space="preserve">위치 인증 등급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조회수를 가중 합산하여 점수를 계산한다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</si>
  <si>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T1×3.0 T2×1.8 </t>
    </r>
    <r>
      <rPr>
        <sz val="9"/>
        <color rgb="FF595959"/>
        <rFont val="Noto Sans CJK SC"/>
        <family val="2"/>
      </rPr>
      <t xml:space="preserve">좋아요</t>
    </r>
    <r>
      <rPr>
        <sz val="9"/>
        <color rgb="FF595959"/>
        <rFont val="맑은 고딕"/>
        <family val="0"/>
        <charset val="1"/>
      </rPr>
      <t xml:space="preserve">×1.0 </t>
    </r>
    <r>
      <rPr>
        <sz val="9"/>
        <color rgb="FF595959"/>
        <rFont val="Noto Sans CJK SC"/>
        <family val="2"/>
      </rPr>
      <t xml:space="preserve">댓글</t>
    </r>
    <r>
      <rPr>
        <sz val="9"/>
        <color rgb="FF595959"/>
        <rFont val="맑은 고딕"/>
        <family val="0"/>
        <charset val="1"/>
      </rPr>
      <t xml:space="preserve">×1.5 </t>
    </r>
    <r>
      <rPr>
        <sz val="9"/>
        <color rgb="FF595959"/>
        <rFont val="Noto Sans CJK SC"/>
        <family val="2"/>
      </rPr>
      <t xml:space="preserve">방문</t>
    </r>
    <r>
      <rPr>
        <sz val="9"/>
        <color rgb="FF595959"/>
        <rFont val="맑은 고딕"/>
        <family val="0"/>
        <charset val="1"/>
      </rPr>
      <t xml:space="preserve">×2.0 </t>
    </r>
    <r>
      <rPr>
        <sz val="9"/>
        <color rgb="FF595959"/>
        <rFont val="Noto Sans CJK SC"/>
        <family val="2"/>
      </rPr>
      <t xml:space="preserve">조회</t>
    </r>
    <r>
      <rPr>
        <sz val="9"/>
        <color rgb="FF595959"/>
        <rFont val="맑은 고딕"/>
        <family val="0"/>
        <charset val="1"/>
      </rPr>
      <t xml:space="preserve">×0.05</t>
    </r>
  </si>
  <si>
    <t xml:space="preserve">RNK-007</t>
  </si>
  <si>
    <t xml:space="preserve">순위 변동 표시</t>
  </si>
  <si>
    <r>
      <rPr>
        <sz val="10"/>
        <rFont val="Noto Sans CJK SC"/>
        <family val="2"/>
      </rPr>
      <t xml:space="preserve">이전 회차 대비 순위 상승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신규 진입을 표시한다</t>
    </r>
    <r>
      <rPr>
        <sz val="10"/>
        <rFont val="맑은 고딕"/>
        <family val="0"/>
        <charset val="1"/>
      </rPr>
      <t xml:space="preserve">.</t>
    </r>
  </si>
  <si>
    <t xml:space="preserve">직전 스냅샷 보관 필요</t>
  </si>
  <si>
    <t xml:space="preserve">RNK-008</t>
  </si>
  <si>
    <t xml:space="preserve">랭킹 집계 배치</t>
  </si>
  <si>
    <r>
      <rPr>
        <sz val="10"/>
        <rFont val="Noto Sans CJK SC"/>
        <family val="2"/>
      </rPr>
      <t xml:space="preserve">주기적으로 랭킹을 재계산하여 저장한다</t>
    </r>
    <r>
      <rPr>
        <sz val="10"/>
        <rFont val="맑은 고딕"/>
        <family val="0"/>
        <charset val="1"/>
      </rPr>
      <t xml:space="preserve">.</t>
    </r>
  </si>
  <si>
    <t xml:space="preserve">동점 시 결정적 정렬 필수</t>
  </si>
  <si>
    <t xml:space="preserve">RNK-009</t>
  </si>
  <si>
    <t xml:space="preserve">랭킹 진입 기준</t>
  </si>
  <si>
    <r>
      <rPr>
        <sz val="10"/>
        <rFont val="Noto Sans CJK SC"/>
        <family val="2"/>
      </rPr>
      <t xml:space="preserve">위치가 인증된 게시물이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이상인 장소만 랭킹에 포함한다</t>
    </r>
    <r>
      <rPr>
        <sz val="10"/>
        <rFont val="맑은 고딕"/>
        <family val="0"/>
        <charset val="1"/>
      </rPr>
      <t xml:space="preserve">.</t>
    </r>
  </si>
  <si>
    <t xml:space="preserve">RNK-010</t>
  </si>
  <si>
    <t xml:space="preserve">추천</t>
  </si>
  <si>
    <t xml:space="preserve">추천 장소 조회</t>
  </si>
  <si>
    <r>
      <rPr>
        <sz val="10"/>
        <rFont val="Noto Sans CJK SC"/>
        <family val="2"/>
      </rPr>
      <t xml:space="preserve">지역별로 지금 볼 만한 장소를 추천받을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</si>
  <si>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랭킹과 구분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랜덤 시드 혼합</t>
    </r>
  </si>
  <si>
    <t xml:space="preserve">RNK-011</t>
  </si>
  <si>
    <t xml:space="preserve">추천 사유 제공</t>
  </si>
  <si>
    <r>
      <rPr>
        <sz val="10"/>
        <rFont val="Noto Sans CJK SC"/>
        <family val="2"/>
      </rPr>
      <t xml:space="preserve">추천 이유를 코드로 함께 제공한다</t>
    </r>
    <r>
      <rPr>
        <sz val="10"/>
        <rFont val="맑은 고딕"/>
        <family val="0"/>
        <charset val="1"/>
      </rPr>
      <t xml:space="preserve">.</t>
    </r>
  </si>
  <si>
    <t xml:space="preserve">HOT_THIS_WEEK / TOP_RATED / HIDDEN_GEM / EDITOR_PICK</t>
  </si>
  <si>
    <t xml:space="preserve">RNK-012</t>
  </si>
  <si>
    <t xml:space="preserve">데이터 부족 대체</t>
  </si>
  <si>
    <r>
      <rPr>
        <sz val="10"/>
        <rFont val="Noto Sans CJK SC"/>
        <family val="2"/>
      </rPr>
      <t xml:space="preserve">게시물이 부족하면 운영자 지정 장소로 추천을 채운다</t>
    </r>
    <r>
      <rPr>
        <sz val="10"/>
        <rFont val="맑은 고딕"/>
        <family val="0"/>
        <charset val="1"/>
      </rPr>
      <t xml:space="preserve">.</t>
    </r>
  </si>
  <si>
    <t xml:space="preserve">시연 시 빈 화면 방지</t>
  </si>
  <si>
    <t xml:space="preserve">SCH-001</t>
  </si>
  <si>
    <t xml:space="preserve">검색</t>
  </si>
  <si>
    <t xml:space="preserve">통합 검색</t>
  </si>
  <si>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사용자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태그를 한 번에 검색할 수 있다</t>
    </r>
    <r>
      <rPr>
        <sz val="10"/>
        <rFont val="맑은 고딕"/>
        <family val="0"/>
        <charset val="1"/>
      </rPr>
      <t xml:space="preserve">.</t>
    </r>
  </si>
  <si>
    <t xml:space="preserve">SCH-007</t>
  </si>
  <si>
    <t xml:space="preserve">검색 초기 화면</t>
  </si>
  <si>
    <r>
      <rPr>
        <sz val="10"/>
        <rFont val="Noto Sans CJK SC"/>
        <family val="2"/>
      </rPr>
      <t xml:space="preserve">검색어 입력 전에 인기 검색어와 최근 검색어를 표시한다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</si>
  <si>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수정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검색은 독립 탭이 아니라 커뮤니티 탭 안으로 이동</t>
    </r>
  </si>
  <si>
    <t xml:space="preserve">SCH-002</t>
  </si>
  <si>
    <t xml:space="preserve">장소명 검색</t>
  </si>
  <si>
    <r>
      <rPr>
        <sz val="10"/>
        <rFont val="Noto Sans CJK SC"/>
        <family val="2"/>
      </rPr>
      <t xml:space="preserve">장소 이름과 주소로 장소를 검색할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</si>
  <si>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한글 부분어 검색 지원</t>
    </r>
    <r>
      <rPr>
        <sz val="9"/>
        <color rgb="FF595959"/>
        <rFont val="맑은 고딕"/>
        <family val="0"/>
        <charset val="1"/>
      </rPr>
      <t xml:space="preserve">(ngram) / LIKE </t>
    </r>
    <r>
      <rPr>
        <sz val="9"/>
        <color rgb="FF595959"/>
        <rFont val="Noto Sans CJK SC"/>
        <family val="2"/>
      </rPr>
      <t xml:space="preserve">검색은 인덱스 미사용</t>
    </r>
  </si>
  <si>
    <t xml:space="preserve">SCH-003</t>
  </si>
  <si>
    <t xml:space="preserve">게시물 검색</t>
  </si>
  <si>
    <r>
      <rPr>
        <sz val="10"/>
        <rFont val="Noto Sans CJK SC"/>
        <family val="2"/>
      </rPr>
      <t xml:space="preserve">게시물 제목과 본문으로 검색할 수 있다</t>
    </r>
    <r>
      <rPr>
        <sz val="10"/>
        <rFont val="맑은 고딕"/>
        <family val="0"/>
        <charset val="1"/>
      </rPr>
      <t xml:space="preserve">.</t>
    </r>
  </si>
  <si>
    <t xml:space="preserve">SCH-004</t>
  </si>
  <si>
    <t xml:space="preserve">사용자 검색</t>
  </si>
  <si>
    <r>
      <rPr>
        <sz val="10"/>
        <rFont val="Noto Sans CJK SC"/>
        <family val="2"/>
      </rPr>
      <t xml:space="preserve">닉네임으로 사용자를 검색할 수 있다</t>
    </r>
    <r>
      <rPr>
        <sz val="10"/>
        <rFont val="맑은 고딕"/>
        <family val="0"/>
        <charset val="1"/>
      </rPr>
      <t xml:space="preserve">.</t>
    </r>
  </si>
  <si>
    <t xml:space="preserve">SCH-005</t>
  </si>
  <si>
    <t xml:space="preserve">검색 보조</t>
  </si>
  <si>
    <t xml:space="preserve">인기 검색어</t>
  </si>
  <si>
    <r>
      <rPr>
        <sz val="10"/>
        <rFont val="Noto Sans CJK SC"/>
        <family val="2"/>
      </rPr>
      <t xml:space="preserve">많이 검색된 키워드를 조회할 수 있다</t>
    </r>
    <r>
      <rPr>
        <sz val="10"/>
        <rFont val="맑은 고딕"/>
        <family val="0"/>
        <charset val="1"/>
      </rPr>
      <t xml:space="preserve">.</t>
    </r>
  </si>
  <si>
    <t xml:space="preserve">SCH-006</t>
  </si>
  <si>
    <t xml:space="preserve">최근 검색어</t>
  </si>
  <si>
    <r>
      <rPr>
        <sz val="10"/>
        <rFont val="Noto Sans CJK SC"/>
        <family val="2"/>
      </rPr>
      <t xml:space="preserve">자신이 최근에 검색한 키워드를 조회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삭제할 수 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</si>
  <si>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맑은 고딕"/>
        <family val="0"/>
        <charset val="1"/>
      </rPr>
      <t xml:space="preserve">Redis </t>
    </r>
    <r>
      <rPr>
        <sz val="9"/>
        <color rgb="FF595959"/>
        <rFont val="Noto Sans CJK SC"/>
        <family val="2"/>
      </rPr>
      <t xml:space="preserve">관리</t>
    </r>
  </si>
  <si>
    <t xml:space="preserve">SYS-001</t>
  </si>
  <si>
    <t xml:space="preserve">공통</t>
  </si>
  <si>
    <t xml:space="preserve">응답 규약</t>
  </si>
  <si>
    <t xml:space="preserve">공통 응답 형식</t>
  </si>
  <si>
    <r>
      <rPr>
        <sz val="10"/>
        <rFont val="Noto Sans CJK SC"/>
        <family val="2"/>
      </rPr>
      <t xml:space="preserve">모든 </t>
    </r>
    <r>
      <rPr>
        <sz val="10"/>
        <rFont val="맑은 고딕"/>
        <family val="0"/>
        <charset val="1"/>
      </rPr>
      <t xml:space="preserve">API</t>
    </r>
    <r>
      <rPr>
        <sz val="10"/>
        <rFont val="Noto Sans CJK SC"/>
        <family val="2"/>
      </rPr>
      <t xml:space="preserve">는 성공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실패 여부와 데이터를 동일한 형식으로 반환한다</t>
    </r>
    <r>
      <rPr>
        <sz val="10"/>
        <rFont val="맑은 고딕"/>
        <family val="0"/>
        <charset val="1"/>
      </rPr>
      <t xml:space="preserve">.</t>
    </r>
  </si>
  <si>
    <t xml:space="preserve">SYS-002</t>
  </si>
  <si>
    <t xml:space="preserve">에러 코드 체계</t>
  </si>
  <si>
    <r>
      <rPr>
        <sz val="10"/>
        <rFont val="Noto Sans CJK SC"/>
        <family val="2"/>
      </rPr>
      <t xml:space="preserve">오류는 코드로 구분하여 반환하고 앱이 언어에 맞는 문구를 표시한다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</si>
  <si>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외국인 대상 — 코드 기반 </t>
    </r>
    <r>
      <rPr>
        <sz val="9"/>
        <color rgb="FF595959"/>
        <rFont val="맑은 고딕"/>
        <family val="0"/>
        <charset val="1"/>
      </rPr>
      <t xml:space="preserve">i18n</t>
    </r>
  </si>
  <si>
    <t xml:space="preserve">SYS-003</t>
  </si>
  <si>
    <t xml:space="preserve">페이징 규약</t>
  </si>
  <si>
    <r>
      <rPr>
        <sz val="10"/>
        <rFont val="Noto Sans CJK SC"/>
        <family val="2"/>
      </rPr>
      <t xml:space="preserve">목록 조회는 페이지 번호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크기와 전체 건수를 함께 반환한다</t>
    </r>
    <r>
      <rPr>
        <sz val="10"/>
        <rFont val="맑은 고딕"/>
        <family val="0"/>
        <charset val="1"/>
      </rPr>
      <t xml:space="preserve">.</t>
    </r>
  </si>
  <si>
    <t xml:space="preserve">무한스크롤은 커서 방식 권장</t>
  </si>
  <si>
    <t xml:space="preserve">SYS-004</t>
  </si>
  <si>
    <t xml:space="preserve">데이터 정합</t>
  </si>
  <si>
    <t xml:space="preserve">논리 삭제</t>
  </si>
  <si>
    <r>
      <rPr>
        <sz val="10"/>
        <rFont val="Noto Sans CJK SC"/>
        <family val="2"/>
      </rPr>
      <t xml:space="preserve">모든 삭제는 논리 삭제로 처리하고 물리 삭제는 배치로 수행한다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</si>
  <si>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랭킹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통계 정합성</t>
    </r>
  </si>
  <si>
    <t xml:space="preserve">SYS-005</t>
  </si>
  <si>
    <t xml:space="preserve">카운터 보정 배치</t>
  </si>
  <si>
    <r>
      <rPr>
        <sz val="10"/>
        <rFont val="Noto Sans CJK SC"/>
        <family val="2"/>
      </rPr>
      <t xml:space="preserve">비정규화된 집계 컬럼을 매일 실제 값으로 보정한다</t>
    </r>
    <r>
      <rPr>
        <sz val="10"/>
        <rFont val="맑은 고딕"/>
        <family val="0"/>
        <charset val="1"/>
      </rPr>
      <t xml:space="preserve">.</t>
    </r>
  </si>
  <si>
    <t xml:space="preserve">동시성으로 어긋남</t>
  </si>
  <si>
    <t xml:space="preserve">SYS-006</t>
  </si>
  <si>
    <t xml:space="preserve">운영</t>
  </si>
  <si>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문서 제공</t>
    </r>
  </si>
  <si>
    <r>
      <rPr>
        <sz val="10"/>
        <rFont val="Noto Sans CJK SC"/>
        <family val="2"/>
      </rPr>
      <t xml:space="preserve">프론트엔드가 확인할 수 있는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문서를 제공한다</t>
    </r>
    <r>
      <rPr>
        <sz val="10"/>
        <rFont val="맑은 고딕"/>
        <family val="0"/>
        <charset val="1"/>
      </rPr>
      <t xml:space="preserve">.</t>
    </r>
  </si>
  <si>
    <t xml:space="preserve">Swagger UI</t>
  </si>
  <si>
    <t xml:space="preserve">SYS-007</t>
  </si>
  <si>
    <r>
      <rPr>
        <sz val="10"/>
        <rFont val="맑은 고딕"/>
        <family val="0"/>
        <charset val="1"/>
      </rPr>
      <t xml:space="preserve">CORS </t>
    </r>
    <r>
      <rPr>
        <sz val="10"/>
        <rFont val="Noto Sans CJK SC"/>
        <family val="2"/>
      </rPr>
      <t xml:space="preserve">설정</t>
    </r>
  </si>
  <si>
    <r>
      <rPr>
        <sz val="10"/>
        <rFont val="Noto Sans CJK SC"/>
        <family val="2"/>
      </rPr>
      <t xml:space="preserve">프론트엔드 도메인의 교차 출처 요청을 허용한다</t>
    </r>
    <r>
      <rPr>
        <sz val="10"/>
        <rFont val="맑은 고딕"/>
        <family val="0"/>
        <charset val="1"/>
      </rPr>
      <t xml:space="preserve">.</t>
    </r>
  </si>
  <si>
    <t xml:space="preserve">SYS-008</t>
  </si>
  <si>
    <t xml:space="preserve">수동 배치 실행</t>
  </si>
  <si>
    <r>
      <rPr>
        <sz val="10"/>
        <rFont val="Noto Sans CJK SC"/>
        <family val="2"/>
      </rPr>
      <t xml:space="preserve">관리자가 데이터 연동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랭킹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히트맵 배치를 즉시 실행할 수 있다</t>
    </r>
    <r>
      <rPr>
        <sz val="10"/>
        <rFont val="맑은 고딕"/>
        <family val="0"/>
        <charset val="1"/>
      </rPr>
      <t xml:space="preserve">.</t>
    </r>
  </si>
  <si>
    <t xml:space="preserve">시연 직전 최신화용</t>
  </si>
  <si>
    <t xml:space="preserve">SYS-009</t>
  </si>
  <si>
    <t xml:space="preserve">요청 추적 로그</t>
  </si>
  <si>
    <r>
      <rPr>
        <sz val="10"/>
        <rFont val="Noto Sans CJK SC"/>
        <family val="2"/>
      </rPr>
      <t xml:space="preserve">요청별 추적 </t>
    </r>
    <r>
      <rPr>
        <sz val="10"/>
        <rFont val="맑은 고딕"/>
        <family val="0"/>
        <charset val="1"/>
      </rPr>
      <t xml:space="preserve">ID</t>
    </r>
    <r>
      <rPr>
        <sz val="10"/>
        <rFont val="Noto Sans CJK SC"/>
        <family val="2"/>
      </rPr>
      <t xml:space="preserve">를 부여하여 로그를 남긴다</t>
    </r>
    <r>
      <rPr>
        <sz val="10"/>
        <rFont val="맑은 고딕"/>
        <family val="0"/>
        <charset val="1"/>
      </rPr>
      <t xml:space="preserve">.</t>
    </r>
  </si>
  <si>
    <t xml:space="preserve">EVT-001</t>
  </si>
  <si>
    <t xml:space="preserve">이벤트</t>
  </si>
  <si>
    <t xml:space="preserve">행사 데이터</t>
  </si>
  <si>
    <t xml:space="preserve">지자체 행사 데이터 연동</t>
  </si>
  <si>
    <r>
      <rPr>
        <sz val="10"/>
        <rFont val="Noto Sans CJK SC"/>
        <family val="2"/>
      </rPr>
      <t xml:space="preserve">한국관광공사 축제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행사 정보를 수집하여 행사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주최 정보와 함께 저장한다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</si>
  <si>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이벤트 탭의 기반 데이터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기간이 있는 데이터라 별도 적재 필요</t>
    </r>
  </si>
  <si>
    <t xml:space="preserve">EVT-002</t>
  </si>
  <si>
    <t xml:space="preserve">행사 기간 관리</t>
  </si>
  <si>
    <r>
      <rPr>
        <sz val="10"/>
        <rFont val="Noto Sans CJK SC"/>
        <family val="2"/>
      </rPr>
      <t xml:space="preserve">행사의 시작일과 종료일을 저장하여 진행중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예정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종료를 구분한다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</si>
  <si>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자동 태그 추천</t>
    </r>
    <r>
      <rPr>
        <b val="true"/>
        <sz val="9"/>
        <color rgb="FFC00000"/>
        <rFont val="맑은 고딕"/>
        <family val="0"/>
        <charset val="1"/>
      </rPr>
      <t xml:space="preserve">(CMU-020)</t>
    </r>
    <r>
      <rPr>
        <b val="true"/>
        <sz val="9"/>
        <color rgb="FFC00000"/>
        <rFont val="Noto Sans CJK SC"/>
        <family val="2"/>
      </rPr>
      <t xml:space="preserve">도 이 기간을 사용</t>
    </r>
  </si>
  <si>
    <t xml:space="preserve">EVT-003</t>
  </si>
  <si>
    <t xml:space="preserve">행사 조회</t>
  </si>
  <si>
    <t xml:space="preserve">진행중 행사 목록</t>
  </si>
  <si>
    <r>
      <rPr>
        <sz val="10"/>
        <rFont val="Noto Sans CJK SC"/>
        <family val="2"/>
      </rPr>
      <t xml:space="preserve">현재 진행중인 행사를 지역별로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</si>
  <si>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</t>
    </r>
  </si>
  <si>
    <t xml:space="preserve">EVT-004</t>
  </si>
  <si>
    <t xml:space="preserve">예정 행사 목록</t>
  </si>
  <si>
    <r>
      <rPr>
        <sz val="10"/>
        <rFont val="Noto Sans CJK SC"/>
        <family val="2"/>
      </rPr>
      <t xml:space="preserve">곧 시작하는 행사를 시작일 순으로 조회할 수 있다</t>
    </r>
    <r>
      <rPr>
        <sz val="10"/>
        <rFont val="맑은 고딕"/>
        <family val="0"/>
        <charset val="1"/>
      </rPr>
      <t xml:space="preserve">.</t>
    </r>
  </si>
  <si>
    <t xml:space="preserve">EVT-005</t>
  </si>
  <si>
    <t xml:space="preserve">행사 상세 조회</t>
  </si>
  <si>
    <r>
      <rPr>
        <sz val="10"/>
        <rFont val="Noto Sans CJK SC"/>
        <family val="2"/>
      </rPr>
      <t xml:space="preserve">행사의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이미지와 관련 게시물을 조회할 수 있다</t>
    </r>
    <r>
      <rPr>
        <sz val="10"/>
        <rFont val="맑은 고딕"/>
        <family val="0"/>
        <charset val="1"/>
      </rPr>
      <t xml:space="preserve">.</t>
    </r>
  </si>
  <si>
    <t xml:space="preserve">EVT-006</t>
  </si>
  <si>
    <t xml:space="preserve">주변 행사 조회</t>
  </si>
  <si>
    <r>
      <rPr>
        <sz val="10"/>
        <rFont val="Noto Sans CJK SC"/>
        <family val="2"/>
      </rPr>
      <t xml:space="preserve">현재 위치 주변에서 진행중인 행사를 조회할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</si>
  <si>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주변 장소 조회와 같은 공간 쿼리를 재사용</t>
    </r>
  </si>
  <si>
    <t xml:space="preserve">EVT-007</t>
  </si>
  <si>
    <t xml:space="preserve">행사 참여</t>
  </si>
  <si>
    <t xml:space="preserve">행사 게시물 연결</t>
  </si>
  <si>
    <r>
      <rPr>
        <sz val="10"/>
        <rFont val="Noto Sans CJK SC"/>
        <family val="2"/>
      </rPr>
      <t xml:space="preserve">행사에 참여한 사용자의 게시물을 행사 상세에서 함께 볼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</si>
  <si>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</t>
    </r>
    <r>
      <rPr>
        <b val="true"/>
        <sz val="9"/>
        <color rgb="FFC00000"/>
        <rFont val="맑은 고딕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행사 태그 또는 장소 연결로 판정</t>
    </r>
  </si>
  <si>
    <t xml:space="preserve">EVT-008</t>
  </si>
  <si>
    <t xml:space="preserve">주변 행사 알림</t>
  </si>
  <si>
    <r>
      <rPr>
        <sz val="10"/>
        <rFont val="Noto Sans CJK SC"/>
        <family val="2"/>
      </rPr>
      <t xml:space="preserve">사용자 위치 주변에서 행사가 시작되면 알림을 발송할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</si>
  <si>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맑은 고딕"/>
        <family val="0"/>
        <charset val="1"/>
      </rPr>
      <t xml:space="preserve">] </t>
    </r>
    <r>
      <rPr>
        <b val="true"/>
        <sz val="9"/>
        <color rgb="FFC00000"/>
        <rFont val="Noto Sans CJK SC"/>
        <family val="2"/>
      </rPr>
      <t xml:space="preserve">와이어프레임 반영 ★ 위치를 주기적으로 수집해야 하므로 배터리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프라이버시 부담이 큼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도입 여부 신중히 결정</t>
    </r>
  </si>
  <si>
    <t xml:space="preserve">EVT-009</t>
  </si>
  <si>
    <t xml:space="preserve">행사 직접 등록</t>
  </si>
  <si>
    <r>
      <rPr>
        <sz val="10"/>
        <rFont val="Noto Sans CJK SC"/>
        <family val="2"/>
      </rPr>
      <t xml:space="preserve">관광공사 데이터에 없는 행사를 관리자가 직접 등록할 수 있다</t>
    </r>
    <r>
      <rPr>
        <sz val="10"/>
        <rFont val="맑은 고딕"/>
        <family val="0"/>
        <charset val="1"/>
      </rPr>
      <t xml:space="preserve">.</t>
    </r>
  </si>
  <si>
    <t xml:space="preserve">페이지</t>
  </si>
  <si>
    <t xml:space="preserve">하위 페이지</t>
  </si>
  <si>
    <t xml:space="preserve">세부 기능</t>
  </si>
  <si>
    <t xml:space="preserve">페이지 전환</t>
  </si>
  <si>
    <r>
      <rPr>
        <b val="true"/>
        <sz val="11"/>
        <color rgb="FFFFFFFF"/>
        <rFont val="Noto Sans CJK SC"/>
        <family val="2"/>
      </rPr>
      <t xml:space="preserve">비고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논의사항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</si>
  <si>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0. </t>
    </r>
    <r>
      <rPr>
        <b val="true"/>
        <sz val="10"/>
        <rFont val="Noto Sans CJK SC"/>
        <family val="2"/>
      </rPr>
      <t xml:space="preserve">홈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지도</t>
    </r>
    <r>
      <rPr>
        <b val="true"/>
        <sz val="10"/>
        <rFont val="맑은 고딕"/>
        <family val="0"/>
        <charset val="1"/>
      </rPr>
      <t xml:space="preserve">)
[nav ①]</t>
    </r>
  </si>
  <si>
    <r>
      <rPr>
        <b val="true"/>
        <sz val="10"/>
        <rFont val="맑은 고딕"/>
        <family val="0"/>
        <charset val="1"/>
      </rPr>
      <t xml:space="preserve">0.1 </t>
    </r>
    <r>
      <rPr>
        <b val="true"/>
        <sz val="10"/>
        <rFont val="Noto Sans CJK SC"/>
        <family val="2"/>
      </rPr>
      <t xml:space="preserve">지도 기본 레이어</t>
    </r>
  </si>
  <si>
    <t xml:space="preserve">시도 영역 표시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</si>
  <si>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대한민국 지도에서 시도별 영역이 각각 버튼 역할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영역을 누르면 그 지역 게시판으로 이동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</si>
  <si>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영역 탭</t>
    </r>
    <r>
      <rPr>
        <sz val="10"/>
        <rFont val="맑은 고딕"/>
        <family val="0"/>
        <charset val="1"/>
      </rPr>
      <t xml:space="preserve">: 5. </t>
    </r>
    <r>
      <rPr>
        <sz val="10"/>
        <rFont val="Noto Sans CJK SC"/>
        <family val="2"/>
      </rPr>
      <t xml:space="preserve">지역 게시판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</si>
  <si>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1.
</t>
    </r>
    <r>
      <rPr>
        <b val="true"/>
        <sz val="9"/>
        <color rgb="FFC00000"/>
        <rFont val="Noto Sans CJK SC"/>
        <family val="2"/>
      </rPr>
      <t xml:space="preserve">충청북도처럼 얇고 긴 지역은 영역 탭이 어렵다는 문제 제기가 있었음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서버가 시도별 라벨 좌표를 주면 앱이 그 지점에 별도 터치 타겟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핀</t>
    </r>
    <r>
      <rPr>
        <b val="true"/>
        <sz val="9"/>
        <color rgb="FFC00000"/>
        <rFont val="맑은 고딕"/>
        <family val="0"/>
        <charset val="1"/>
      </rPr>
      <t xml:space="preserve">)</t>
    </r>
    <r>
      <rPr>
        <b val="true"/>
        <sz val="9"/>
        <color rgb="FFC00000"/>
        <rFont val="Noto Sans CJK SC"/>
        <family val="2"/>
      </rPr>
      <t xml:space="preserve">을 놓을 수 있음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영역 </t>
    </r>
    <r>
      <rPr>
        <b val="true"/>
        <sz val="9"/>
        <color rgb="FFC00000"/>
        <rFont val="맑은 고딕"/>
        <family val="0"/>
        <charset val="1"/>
      </rPr>
      <t xml:space="preserve">+ </t>
    </r>
    <r>
      <rPr>
        <b val="true"/>
        <sz val="9"/>
        <color rgb="FFC00000"/>
        <rFont val="Noto Sans CJK SC"/>
        <family val="2"/>
      </rPr>
      <t xml:space="preserve">핀을 함께 두는 방식 권장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</si>
  <si>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t xml:space="preserve">시도별 활동량 농도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</si>
  <si>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시도별 최근 활동량을 색 농도로 표시</t>
    </r>
  </si>
  <si>
    <t xml:space="preserve">현재 페이지 유지</t>
  </si>
  <si>
    <r>
      <rPr>
        <b val="true"/>
        <sz val="10"/>
        <rFont val="맑은 고딕"/>
        <family val="0"/>
        <charset val="1"/>
      </rPr>
      <t xml:space="preserve">0.2 </t>
    </r>
    <r>
      <rPr>
        <b val="true"/>
        <sz val="10"/>
        <rFont val="Noto Sans CJK SC"/>
        <family val="2"/>
      </rPr>
      <t xml:space="preserve">트래픽 레이어</t>
    </r>
  </si>
  <si>
    <t xml:space="preserve">실시간 트래픽 표시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</si>
  <si>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최근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시간 활동을 원 크기로 표시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버블</t>
    </r>
    <r>
      <rPr>
        <sz val="10"/>
        <rFont val="맑은 고딕"/>
        <family val="0"/>
        <charset val="1"/>
      </rPr>
      <t xml:space="preserve">)
- </t>
    </r>
    <r>
      <rPr>
        <sz val="10"/>
        <rFont val="Noto Sans CJK SC"/>
        <family val="2"/>
      </rPr>
      <t xml:space="preserve">원이 클수록 게시물이 많은 구역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</si>
  <si>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원 탭</t>
    </r>
    <r>
      <rPr>
        <sz val="10"/>
        <rFont val="맑은 고딕"/>
        <family val="0"/>
        <charset val="1"/>
      </rPr>
      <t xml:space="preserve">: 0.4 </t>
    </r>
    <r>
      <rPr>
        <sz val="10"/>
        <rFont val="Noto Sans CJK SC"/>
        <family val="2"/>
      </rPr>
      <t xml:space="preserve">구역 요약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</si>
  <si>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확정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실시간 </t>
    </r>
    <r>
      <rPr>
        <sz val="9"/>
        <color rgb="FF595959"/>
        <rFont val="맑은 고딕"/>
        <family val="0"/>
        <charset val="1"/>
      </rPr>
      <t xml:space="preserve">= 1</t>
    </r>
    <r>
      <rPr>
        <sz val="9"/>
        <color rgb="FF595959"/>
        <rFont val="Noto Sans CJK SC"/>
        <family val="2"/>
      </rPr>
      <t xml:space="preserve">분 캐시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앱 </t>
    </r>
    <r>
      <rPr>
        <sz val="9"/>
        <color rgb="FF595959"/>
        <rFont val="맑은 고딕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초 폴링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웹소켓</t>
    </r>
    <r>
      <rPr>
        <sz val="9"/>
        <color rgb="FF595959"/>
        <rFont val="맑은 고딕"/>
        <family val="0"/>
        <charset val="1"/>
      </rPr>
      <t xml:space="preserve">·SSE</t>
    </r>
    <r>
      <rPr>
        <sz val="9"/>
        <color rgb="FF595959"/>
        <rFont val="Noto Sans CJK SC"/>
        <family val="2"/>
      </rPr>
      <t xml:space="preserve">는 사용하지 않음</t>
    </r>
    <r>
      <rPr>
        <sz val="9"/>
        <color rgb="FF595959"/>
        <rFont val="맑은 고딕"/>
        <family val="0"/>
        <charset val="1"/>
      </rPr>
      <t xml:space="preserve">.</t>
    </r>
  </si>
  <si>
    <t xml:space="preserve">데이터 부족 시 폴백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</si>
  <si>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최근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시간 게시물이 적으면 자동으로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 기준으로 전환
</t>
    </r>
    <r>
      <rPr>
        <sz val="10"/>
        <rFont val="맑은 고딕"/>
        <family val="0"/>
        <charset val="1"/>
      </rPr>
      <t xml:space="preserve">- '</t>
    </r>
    <r>
      <rPr>
        <sz val="10"/>
        <rFont val="Noto Sans CJK SC"/>
        <family val="2"/>
      </rPr>
      <t xml:space="preserve">최근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 기준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라벨 표시</t>
    </r>
  </si>
  <si>
    <r>
      <rPr>
        <sz val="9"/>
        <color rgb="FF595959"/>
        <rFont val="Noto Sans CJK SC"/>
        <family val="2"/>
      </rPr>
      <t xml:space="preserve">★ 시연 대비 필수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초기에 지도가 텅 비면 실시간 지도 컨셉 자체가 무너짐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</si>
  <si>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인기 사진 레이어</t>
    </r>
  </si>
  <si>
    <t xml:space="preserve">사진 마커 표시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</si>
  <si>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구역별 대표 사진을 썸네일 마커로 지도에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마커를 누르면 해당 게시물로 이동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</si>
  <si>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마커 탭</t>
    </r>
    <r>
      <rPr>
        <sz val="10"/>
        <rFont val="맑은 고딕"/>
        <family val="0"/>
        <charset val="1"/>
      </rPr>
      <t xml:space="preserve">: 6. </t>
    </r>
    <r>
      <rPr>
        <sz val="10"/>
        <rFont val="Noto Sans CJK SC"/>
        <family val="2"/>
      </rPr>
      <t xml:space="preserve">게시물 상세</t>
    </r>
  </si>
  <si>
    <r>
      <rPr>
        <sz val="9"/>
        <color rgb="FF595959"/>
        <rFont val="Noto Sans CJK SC"/>
        <family val="2"/>
      </rPr>
      <t xml:space="preserve">썸네일 </t>
    </r>
    <r>
      <rPr>
        <sz val="9"/>
        <color rgb="FF595959"/>
        <rFont val="맑은 고딕"/>
        <family val="0"/>
        <charset val="1"/>
      </rPr>
      <t xml:space="preserve">URL</t>
    </r>
    <r>
      <rPr>
        <sz val="9"/>
        <color rgb="FF595959"/>
        <rFont val="Noto Sans CJK SC"/>
        <family val="2"/>
      </rPr>
      <t xml:space="preserve">을 집계 단계에서 미리 저장해 마커를 바로 그릴 수 있게 함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</si>
  <si>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기본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트래픽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인기 사진 레이어를 전환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</si>
  <si>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2.
</t>
    </r>
    <r>
      <rPr>
        <b val="true"/>
        <sz val="9"/>
        <color rgb="FFC00000"/>
        <rFont val="Noto Sans CJK SC"/>
        <family val="2"/>
      </rPr>
      <t xml:space="preserve">레이어를 사용자가 직접 전환할지</t>
    </r>
    <r>
      <rPr>
        <b val="true"/>
        <sz val="9"/>
        <color rgb="FFC00000"/>
        <rFont val="맑은 고딕"/>
        <family val="0"/>
        <charset val="1"/>
      </rPr>
      <t xml:space="preserve">, </t>
    </r>
    <r>
      <rPr>
        <b val="true"/>
        <sz val="9"/>
        <color rgb="FFC00000"/>
        <rFont val="Noto Sans CJK SC"/>
        <family val="2"/>
      </rPr>
      <t xml:space="preserve">시간에 따라 자동 페이드 인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Noto Sans CJK SC"/>
        <family val="2"/>
      </rPr>
      <t xml:space="preserve">아웃할지</t>
    </r>
    <r>
      <rPr>
        <b val="true"/>
        <sz val="9"/>
        <color rgb="FFC00000"/>
        <rFont val="맑은 고딕"/>
        <family val="0"/>
        <charset val="1"/>
      </rPr>
      <t xml:space="preserve">,
</t>
    </r>
    <r>
      <rPr>
        <b val="true"/>
        <sz val="9"/>
        <color rgb="FFC00000"/>
        <rFont val="Noto Sans CJK SC"/>
        <family val="2"/>
      </rPr>
      <t xml:space="preserve">확대 단계별로 자동 전환할지 확정 필요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자동 전환은 보기엔 좋지만 사용자가 원하는 정보를 못 볼 수 있음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</si>
  <si>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0.4 </t>
    </r>
    <r>
      <rPr>
        <b val="true"/>
        <sz val="10"/>
        <rFont val="Noto Sans CJK SC"/>
        <family val="2"/>
      </rPr>
      <t xml:space="preserve">구역 요약</t>
    </r>
  </si>
  <si>
    <t xml:space="preserve">구역 정보 표시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</si>
  <si>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선택한 구역의 게시물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방문자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대표 장소를 바텀시트로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</si>
  <si>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장소 선택</t>
    </r>
    <r>
      <rPr>
        <sz val="10"/>
        <rFont val="맑은 고딕"/>
        <family val="0"/>
        <charset val="1"/>
      </rPr>
      <t xml:space="preserve">: 7. </t>
    </r>
    <r>
      <rPr>
        <sz val="10"/>
        <rFont val="Noto Sans CJK SC"/>
        <family val="2"/>
      </rPr>
      <t xml:space="preserve">장소 상세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더블탭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확대 후 재조회</t>
    </r>
  </si>
  <si>
    <r>
      <rPr>
        <b val="true"/>
        <sz val="10"/>
        <rFont val="맑은 고딕"/>
        <family val="0"/>
        <charset val="1"/>
      </rPr>
      <t xml:space="preserve">0.5 </t>
    </r>
    <r>
      <rPr>
        <b val="true"/>
        <sz val="10"/>
        <rFont val="Noto Sans CJK SC"/>
        <family val="2"/>
      </rPr>
      <t xml:space="preserve">주변 탐색</t>
    </r>
  </si>
  <si>
    <t xml:space="preserve">현재 위치 주변 조회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</si>
  <si>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현재 </t>
    </r>
    <r>
      <rPr>
        <sz val="10"/>
        <rFont val="맑은 고딕"/>
        <family val="0"/>
        <charset val="1"/>
      </rPr>
      <t xml:space="preserve">GPS </t>
    </r>
    <r>
      <rPr>
        <sz val="10"/>
        <rFont val="Noto Sans CJK SC"/>
        <family val="2"/>
      </rPr>
      <t xml:space="preserve">기준 반경 안의 장소를 거리순으로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</si>
  <si>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장소 선택</t>
    </r>
    <r>
      <rPr>
        <sz val="10"/>
        <rFont val="맑은 고딕"/>
        <family val="0"/>
        <charset val="1"/>
      </rPr>
      <t xml:space="preserve">: 7. </t>
    </r>
    <r>
      <rPr>
        <sz val="10"/>
        <rFont val="Noto Sans CJK SC"/>
        <family val="2"/>
      </rPr>
      <t xml:space="preserve">장소 상세</t>
    </r>
  </si>
  <si>
    <r>
      <rPr>
        <sz val="9"/>
        <color rgb="FF595959"/>
        <rFont val="Noto Sans CJK SC"/>
        <family val="2"/>
      </rPr>
      <t xml:space="preserve">반경 기본 </t>
    </r>
    <r>
      <rPr>
        <sz val="9"/>
        <color rgb="FF595959"/>
        <rFont val="맑은 고딕"/>
        <family val="0"/>
        <charset val="1"/>
      </rPr>
      <t xml:space="preserve">500m, </t>
    </r>
    <r>
      <rPr>
        <sz val="9"/>
        <color rgb="FF595959"/>
        <rFont val="Noto Sans CJK SC"/>
        <family val="2"/>
      </rPr>
      <t xml:space="preserve">최대 </t>
    </r>
    <r>
      <rPr>
        <sz val="9"/>
        <color rgb="FF595959"/>
        <rFont val="맑은 고딕"/>
        <family val="0"/>
        <charset val="1"/>
      </rPr>
      <t xml:space="preserve">20km</t>
    </r>
  </si>
  <si>
    <r>
      <rPr>
        <b val="true"/>
        <sz val="10"/>
        <rFont val="맑은 고딕"/>
        <family val="0"/>
        <charset val="1"/>
      </rPr>
      <t xml:space="preserve">0.6 </t>
    </r>
    <r>
      <rPr>
        <b val="true"/>
        <sz val="10"/>
        <rFont val="Noto Sans CJK SC"/>
        <family val="2"/>
      </rPr>
      <t xml:space="preserve">비로그인</t>
    </r>
  </si>
  <si>
    <t xml:space="preserve">둘러보기 모드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</si>
  <si>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로그인 없이 지도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게시물 조회 가능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쓰기 동작 시도 시 로그인 시트 노출</t>
    </r>
  </si>
  <si>
    <r>
      <rPr>
        <sz val="10"/>
        <rFont val="Noto Sans CJK SC"/>
        <family val="2"/>
      </rPr>
      <t xml:space="preserve">로그인 시트</t>
    </r>
    <r>
      <rPr>
        <sz val="10"/>
        <rFont val="맑은 고딕"/>
        <family val="0"/>
        <charset val="1"/>
      </rPr>
      <t xml:space="preserve">: 10.1 </t>
    </r>
    <r>
      <rPr>
        <sz val="10"/>
        <rFont val="Noto Sans CJK SC"/>
        <family val="2"/>
      </rPr>
      <t xml:space="preserve">로그인</t>
    </r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</si>
  <si>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커뮤니티
</t>
    </r>
    <r>
      <rPr>
        <b val="true"/>
        <sz val="10"/>
        <rFont val="맑은 고딕"/>
        <family val="0"/>
        <charset val="1"/>
      </rPr>
      <t xml:space="preserve">[nav ②]</t>
    </r>
  </si>
  <si>
    <r>
      <rPr>
        <b val="true"/>
        <sz val="10"/>
        <rFont val="맑은 고딕"/>
        <family val="0"/>
        <charset val="1"/>
      </rPr>
      <t xml:space="preserve">1.1 </t>
    </r>
    <r>
      <rPr>
        <b val="true"/>
        <sz val="10"/>
        <rFont val="Noto Sans CJK SC"/>
        <family val="2"/>
      </rPr>
      <t xml:space="preserve">검색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</si>
  <si>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장소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게시물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사용자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태그를 검색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검색어 입력 전에는 인기 검색어와 최근 검색어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</si>
  <si>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: 7. </t>
    </r>
    <r>
      <rPr>
        <sz val="10"/>
        <rFont val="Noto Sans CJK SC"/>
        <family val="2"/>
      </rPr>
      <t xml:space="preserve">장소 상세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: 6. </t>
    </r>
    <r>
      <rPr>
        <sz val="10"/>
        <rFont val="Noto Sans CJK SC"/>
        <family val="2"/>
      </rPr>
      <t xml:space="preserve">게시물 상세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사용자</t>
    </r>
    <r>
      <rPr>
        <sz val="10"/>
        <rFont val="맑은 고딕"/>
        <family val="0"/>
        <charset val="1"/>
      </rPr>
      <t xml:space="preserve">: 8. </t>
    </r>
    <r>
      <rPr>
        <sz val="10"/>
        <rFont val="Noto Sans CJK SC"/>
        <family val="2"/>
      </rPr>
      <t xml:space="preserve">프로필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</si>
  <si>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변경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검색이 독립 탭에서 커뮤니티 탭 안으로 이동함</t>
    </r>
  </si>
  <si>
    <t xml:space="preserve">태그 검색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</si>
  <si>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해시태그로 게시물을 검색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</si>
  <si>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: 6. </t>
    </r>
    <r>
      <rPr>
        <sz val="10"/>
        <rFont val="Noto Sans CJK SC"/>
        <family val="2"/>
      </rPr>
      <t xml:space="preserve">게시물 상세</t>
    </r>
  </si>
  <si>
    <r>
      <rPr>
        <b val="true"/>
        <sz val="10"/>
        <rFont val="맑은 고딕"/>
        <family val="0"/>
        <charset val="1"/>
      </rPr>
      <t xml:space="preserve">1.2 </t>
    </r>
    <r>
      <rPr>
        <b val="true"/>
        <sz val="10"/>
        <rFont val="Noto Sans CJK SC"/>
        <family val="2"/>
      </rPr>
      <t xml:space="preserve">인기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추천</t>
    </r>
  </si>
  <si>
    <t xml:space="preserve">전국 인기 사진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</si>
  <si>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전국 기준 인기 사진을 격자로 표시
</t>
    </r>
    <r>
      <rPr>
        <sz val="10"/>
        <rFont val="맑은 고딕"/>
        <family val="0"/>
        <charset val="1"/>
      </rPr>
      <t xml:space="preserve">- 24</t>
    </r>
    <r>
      <rPr>
        <sz val="10"/>
        <rFont val="Noto Sans CJK SC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일주일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한달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전체 기간 전환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</si>
  <si>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3.
</t>
    </r>
    <r>
      <rPr>
        <b val="true"/>
        <sz val="9"/>
        <color rgb="FFC00000"/>
        <rFont val="Noto Sans CJK SC"/>
        <family val="2"/>
      </rPr>
      <t xml:space="preserve">인기 산정 기준 확정 필요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시간에 따라 상위권 노출 점수를 감쇠시키는 방식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핫스코어</t>
    </r>
    <r>
      <rPr>
        <b val="true"/>
        <sz val="9"/>
        <color rgb="FFC00000"/>
        <rFont val="맑은 고딕"/>
        <family val="0"/>
        <charset val="1"/>
      </rPr>
      <t xml:space="preserve">)</t>
    </r>
    <r>
      <rPr>
        <b val="true"/>
        <sz val="9"/>
        <color rgb="FFC00000"/>
        <rFont val="Noto Sans CJK SC"/>
        <family val="2"/>
      </rPr>
      <t xml:space="preserve">과
기간별로 나눠 각각 순위를 매기는 방식이 있음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현재는 후자로 설계함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</si>
  <si>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t xml:space="preserve">추천 장소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</si>
  <si>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지금 볼 만한 장소를 추천하여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추천 사유를 함께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</si>
  <si>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: 7. </t>
    </r>
    <r>
      <rPr>
        <sz val="10"/>
        <rFont val="Noto Sans CJK SC"/>
        <family val="2"/>
      </rPr>
      <t xml:space="preserve">장소 상세</t>
    </r>
  </si>
  <si>
    <t xml:space="preserve">데이터가 부족한 초기에는 운영자 지정 장소로 채워짐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</si>
  <si>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지역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테마별 장소 랭킹과 순위 변동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사용자가 등록한 장소만 대상으로 한 숨은 명소 랭킹 별도 제공</t>
    </r>
  </si>
  <si>
    <t xml:space="preserve">숨은 명소 랭킹은 공모전 차별 포인트로 활용 예정</t>
  </si>
  <si>
    <r>
      <rPr>
        <b val="true"/>
        <sz val="10"/>
        <rFont val="맑은 고딕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팔로잉</t>
    </r>
  </si>
  <si>
    <t xml:space="preserve">팔로잉 피드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</si>
  <si>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팔로우한 사용자들의 게시물만 모아서 표시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</si>
  <si>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확정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별도 탭 없이 커뮤니티 안에 배치</t>
    </r>
    <r>
      <rPr>
        <sz val="9"/>
        <color rgb="FF595959"/>
        <rFont val="맑은 고딕"/>
        <family val="0"/>
        <charset val="1"/>
      </rPr>
      <t xml:space="preserve">.
</t>
    </r>
    <r>
      <rPr>
        <sz val="9"/>
        <color rgb="FF595959"/>
        <rFont val="Noto Sans CJK SC"/>
        <family val="2"/>
      </rPr>
      <t xml:space="preserve">주된 활용은 목록 가중치</t>
    </r>
    <r>
      <rPr>
        <sz val="9"/>
        <color rgb="FF595959"/>
        <rFont val="맑은 고딕"/>
        <family val="0"/>
        <charset val="1"/>
      </rPr>
      <t xml:space="preserve">(5.2)</t>
    </r>
    <r>
      <rPr>
        <sz val="9"/>
        <color rgb="FF595959"/>
        <rFont val="Noto Sans CJK SC"/>
        <family val="2"/>
      </rPr>
      <t xml:space="preserve">이고 이 화면은 보조 수단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</si>
  <si>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업로드
</t>
    </r>
    <r>
      <rPr>
        <b val="true"/>
        <sz val="10"/>
        <rFont val="맑은 고딕"/>
        <family val="0"/>
        <charset val="1"/>
      </rPr>
      <t xml:space="preserve">[nav ③]</t>
    </r>
  </si>
  <si>
    <r>
      <rPr>
        <b val="true"/>
        <sz val="10"/>
        <rFont val="맑은 고딕"/>
        <family val="0"/>
        <charset val="1"/>
      </rPr>
      <t xml:space="preserve">2.0 </t>
    </r>
    <r>
      <rPr>
        <b val="true"/>
        <sz val="10"/>
        <rFont val="Noto Sans CJK SC"/>
        <family val="2"/>
      </rPr>
      <t xml:space="preserve">진입</t>
    </r>
  </si>
  <si>
    <t xml:space="preserve">업로드 화면 진입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</si>
  <si>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내비게이션 중앙 버튼을 누르면 별도 화면으로 전환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팝업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바텀시트가 아닌 전체 화면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</si>
  <si>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지금 촬영</t>
    </r>
    <r>
      <rPr>
        <sz val="10"/>
        <rFont val="맑은 고딕"/>
        <family val="0"/>
        <charset val="1"/>
      </rPr>
      <t xml:space="preserve">: 2.1 </t>
    </r>
    <r>
      <rPr>
        <sz val="10"/>
        <rFont val="Noto Sans CJK SC"/>
        <family val="2"/>
      </rPr>
      <t xml:space="preserve">카메라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이전 사진</t>
    </r>
    <r>
      <rPr>
        <sz val="10"/>
        <rFont val="맑은 고딕"/>
        <family val="0"/>
        <charset val="1"/>
      </rPr>
      <t xml:space="preserve">: 2.2 </t>
    </r>
    <r>
      <rPr>
        <sz val="10"/>
        <rFont val="Noto Sans CJK SC"/>
        <family val="2"/>
      </rPr>
      <t xml:space="preserve">갤러리 선택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</si>
  <si>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변경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바텀시트에서 별도 화면으로 분리됨</t>
    </r>
  </si>
  <si>
    <r>
      <rPr>
        <b val="true"/>
        <sz val="10"/>
        <rFont val="맑은 고딕"/>
        <family val="0"/>
        <charset val="1"/>
      </rPr>
      <t xml:space="preserve">2.1 </t>
    </r>
    <r>
      <rPr>
        <b val="true"/>
        <sz val="10"/>
        <rFont val="Noto Sans CJK SC"/>
        <family val="2"/>
      </rPr>
      <t xml:space="preserve">카메라</t>
    </r>
  </si>
  <si>
    <t xml:space="preserve">지금 촬영하기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</si>
  <si>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카메라를 실행해 즉시 촬영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촬영 방식을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카메라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서버에 전달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</si>
  <si>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촬영 완료</t>
    </r>
    <r>
      <rPr>
        <sz val="10"/>
        <rFont val="맑은 고딕"/>
        <family val="0"/>
        <charset val="1"/>
      </rPr>
      <t xml:space="preserve">: 2.3 </t>
    </r>
    <r>
      <rPr>
        <sz val="10"/>
        <rFont val="Noto Sans CJK SC"/>
        <family val="2"/>
      </rPr>
      <t xml:space="preserve">게시글 작성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</si>
  <si>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4.
</t>
    </r>
    <r>
      <rPr>
        <b val="true"/>
        <sz val="9"/>
        <color rgb="FFC00000"/>
        <rFont val="Noto Sans CJK SC"/>
        <family val="2"/>
      </rPr>
      <t xml:space="preserve">촬영 방식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카메라</t>
    </r>
    <r>
      <rPr>
        <b val="true"/>
        <sz val="9"/>
        <color rgb="FFC00000"/>
        <rFont val="맑은 고딕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갤러리</t>
    </r>
    <r>
      <rPr>
        <b val="true"/>
        <sz val="9"/>
        <color rgb="FFC00000"/>
        <rFont val="맑은 고딕"/>
        <family val="0"/>
        <charset val="1"/>
      </rPr>
      <t xml:space="preserve">) </t>
    </r>
    <r>
      <rPr>
        <b val="true"/>
        <sz val="9"/>
        <color rgb="FFC00000"/>
        <rFont val="Noto Sans CJK SC"/>
        <family val="2"/>
      </rPr>
      <t xml:space="preserve">구분이 현장 인증 판정의 핵심 입력값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앱이 이 값을 정확히 보내지 않으면 최고 등급 인증을 부여할 수 없음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</si>
  <si>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2.2 </t>
    </r>
    <r>
      <rPr>
        <b val="true"/>
        <sz val="10"/>
        <rFont val="Noto Sans CJK SC"/>
        <family val="2"/>
      </rPr>
      <t xml:space="preserve">갤러리 선택</t>
    </r>
  </si>
  <si>
    <t xml:space="preserve">이전 사진 업로드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</si>
  <si>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갤러리에서 사진을 최대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장 선택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각 사진의 촬영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촬영 시각</t>
    </r>
    <r>
      <rPr>
        <sz val="10"/>
        <rFont val="맑은 고딕"/>
        <family val="0"/>
        <charset val="1"/>
      </rPr>
      <t xml:space="preserve">(EXIF)</t>
    </r>
    <r>
      <rPr>
        <sz val="10"/>
        <rFont val="Noto Sans CJK SC"/>
        <family val="2"/>
      </rPr>
      <t xml:space="preserve">을 함께 추출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</si>
  <si>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 완료</t>
    </r>
    <r>
      <rPr>
        <sz val="10"/>
        <rFont val="맑은 고딕"/>
        <family val="0"/>
        <charset val="1"/>
      </rPr>
      <t xml:space="preserve">: 2.3 </t>
    </r>
    <r>
      <rPr>
        <sz val="10"/>
        <rFont val="Noto Sans CJK SC"/>
        <family val="2"/>
      </rPr>
      <t xml:space="preserve">게시글 작성</t>
    </r>
  </si>
  <si>
    <r>
      <rPr>
        <sz val="9"/>
        <color rgb="FF595959"/>
        <rFont val="Noto Sans CJK SC"/>
        <family val="2"/>
      </rPr>
      <t xml:space="preserve">위치 정보가 없는 사진은 위치 미확인으로 판정되어 랭킹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방문 기록에서 제외됨 → 선택 시점에 안내 필요</t>
    </r>
  </si>
  <si>
    <t xml:space="preserve">영상 선택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</si>
  <si>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영상을 첨부할 수 있음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길이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용량 제한 적용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</si>
  <si>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5.
</t>
    </r>
    <r>
      <rPr>
        <b val="true"/>
        <sz val="9"/>
        <color rgb="FFC00000"/>
        <rFont val="Noto Sans CJK SC"/>
        <family val="2"/>
      </rPr>
      <t xml:space="preserve">영상 제한값 확정 필요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Noto Sans CJK SC"/>
        <family val="2"/>
      </rPr>
      <t xml:space="preserve">현재 안</t>
    </r>
    <r>
      <rPr>
        <b val="true"/>
        <sz val="9"/>
        <color rgb="FFC00000"/>
        <rFont val="맑은 고딕"/>
        <family val="0"/>
        <charset val="1"/>
      </rPr>
      <t xml:space="preserve">: 100MB · 60</t>
    </r>
    <r>
      <rPr>
        <b val="true"/>
        <sz val="9"/>
        <color rgb="FFC00000"/>
        <rFont val="Noto Sans CJK SC"/>
        <family val="2"/>
      </rPr>
      <t xml:space="preserve">초</t>
    </r>
    <r>
      <rPr>
        <b val="true"/>
        <sz val="9"/>
        <color rgb="FFC00000"/>
        <rFont val="맑은 고딕"/>
        <family val="0"/>
        <charset val="1"/>
      </rPr>
      <t xml:space="preserve">).
</t>
    </r>
    <r>
      <rPr>
        <b val="true"/>
        <sz val="9"/>
        <color rgb="FFC00000"/>
        <rFont val="Noto Sans CJK SC"/>
        <family val="2"/>
      </rPr>
      <t xml:space="preserve">서버에서 썸네일을 추출해야 하고 전송 비용이 이미지와 비교가 안 되므로
</t>
    </r>
    <r>
      <rPr>
        <b val="true"/>
        <sz val="9"/>
        <color rgb="FFC00000"/>
        <rFont val="맑은 고딕"/>
        <family val="0"/>
        <charset val="1"/>
      </rPr>
      <t xml:space="preserve">CDN </t>
    </r>
    <r>
      <rPr>
        <b val="true"/>
        <sz val="9"/>
        <color rgb="FFC00000"/>
        <rFont val="Noto Sans CJK SC"/>
        <family val="2"/>
      </rPr>
      <t xml:space="preserve">사용 여부까지 함께 결정해야 함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</si>
  <si>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2.3 </t>
    </r>
    <r>
      <rPr>
        <b val="true"/>
        <sz val="10"/>
        <rFont val="Noto Sans CJK SC"/>
        <family val="2"/>
      </rPr>
      <t xml:space="preserve">게시글 작성</t>
    </r>
  </si>
  <si>
    <t xml:space="preserve">장소 선택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</si>
  <si>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촬영 좌표 기준 주변 장소 후보를 거리순으로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현장 인증 가능 여부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후보가 없으면 새 장소 만들기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</si>
  <si>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새 장소</t>
    </r>
    <r>
      <rPr>
        <sz val="10"/>
        <rFont val="맑은 고딕"/>
        <family val="0"/>
        <charset val="1"/>
      </rPr>
      <t xml:space="preserve">: 2.4 </t>
    </r>
    <r>
      <rPr>
        <sz val="10"/>
        <rFont val="Noto Sans CJK SC"/>
        <family val="2"/>
      </rPr>
      <t xml:space="preserve">새 장소 만들기</t>
    </r>
  </si>
  <si>
    <r>
      <rPr>
        <sz val="9"/>
        <color rgb="FF595959"/>
        <rFont val="Noto Sans CJK SC"/>
        <family val="2"/>
      </rPr>
      <t xml:space="preserve">★ 중요
장소를 정하지 못하면 인증 등급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랭킹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방문 기록이 전부 동작하지 않음</t>
    </r>
    <r>
      <rPr>
        <sz val="9"/>
        <color rgb="FF595959"/>
        <rFont val="맑은 고딕"/>
        <family val="0"/>
        <charset val="1"/>
      </rPr>
      <t xml:space="preserve">.
</t>
    </r>
    <r>
      <rPr>
        <sz val="9"/>
        <color rgb="FF595959"/>
        <rFont val="Noto Sans CJK SC"/>
        <family val="2"/>
      </rPr>
      <t xml:space="preserve">작성 화면 안에 반드시 장소 선택 영역이 있어야 함</t>
    </r>
    <r>
      <rPr>
        <sz val="9"/>
        <color rgb="FF595959"/>
        <rFont val="맑은 고딕"/>
        <family val="0"/>
        <charset val="1"/>
      </rPr>
      <t xml:space="preserve">.</t>
    </r>
  </si>
  <si>
    <t xml:space="preserve">태그 자동 채우기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</si>
  <si>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위치와 외부 데이터 연동으로 태그가 자동으로 채워짐
 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지역 태그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#</t>
    </r>
    <r>
      <rPr>
        <sz val="10"/>
        <rFont val="Noto Sans CJK SC"/>
        <family val="2"/>
      </rPr>
      <t xml:space="preserve">경주</t>
    </r>
    <r>
      <rPr>
        <sz val="10"/>
        <rFont val="맑은 고딕"/>
        <family val="0"/>
        <charset val="1"/>
      </rPr>
      <t xml:space="preserve">)
  · </t>
    </r>
    <r>
      <rPr>
        <sz val="10"/>
        <rFont val="Noto Sans CJK SC"/>
        <family val="2"/>
      </rPr>
      <t xml:space="preserve">분류 태그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#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)
  · </t>
    </r>
    <r>
      <rPr>
        <sz val="10"/>
        <rFont val="Noto Sans CJK SC"/>
        <family val="2"/>
      </rPr>
      <t xml:space="preserve">진행중 행사 태그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#2026 oo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)
- </t>
    </r>
    <r>
      <rPr>
        <sz val="10"/>
        <rFont val="Noto Sans CJK SC"/>
        <family val="2"/>
      </rPr>
      <t xml:space="preserve">사용자가 선택 해제 가능</t>
    </r>
  </si>
  <si>
    <r>
      <rPr>
        <sz val="9"/>
        <color rgb="FF595959"/>
        <rFont val="Noto Sans CJK SC"/>
        <family val="2"/>
      </rPr>
      <t xml:space="preserve">★ 와이어프레임의 핵심 요구</t>
    </r>
    <r>
      <rPr>
        <sz val="9"/>
        <color rgb="FF595959"/>
        <rFont val="맑은 고딕"/>
        <family val="0"/>
        <charset val="1"/>
      </rPr>
      <t xml:space="preserve">.
</t>
    </r>
    <r>
      <rPr>
        <sz val="9"/>
        <color rgb="FF595959"/>
        <rFont val="Noto Sans CJK SC"/>
        <family val="2"/>
      </rPr>
      <t xml:space="preserve">진행중 행사 태그는 행사 기간과 좌표 반경이 모두 겹쳐야 추천되므로
관광공사 축제 데이터 적재가 선행되어야 함</t>
    </r>
    <r>
      <rPr>
        <sz val="9"/>
        <color rgb="FF595959"/>
        <rFont val="맑은 고딕"/>
        <family val="0"/>
        <charset val="1"/>
      </rPr>
      <t xml:space="preserve">.</t>
    </r>
  </si>
  <si>
    <t xml:space="preserve">태그 직접 추가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</si>
  <si>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추천 태그 외에 사용자가 태그를 직접 입력</t>
    </r>
  </si>
  <si>
    <t xml:space="preserve">자동 추천 태그와 직접 입력 태그를 구분해 저장 → 추천 채택률 측정</t>
  </si>
  <si>
    <t xml:space="preserve">본문 입력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</si>
  <si>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제목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본문 입력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둘 중 하나는 필수</t>
    </r>
    <r>
      <rPr>
        <sz val="10"/>
        <rFont val="맑은 고딕"/>
        <family val="0"/>
        <charset val="1"/>
      </rPr>
      <t xml:space="preserve">)
- </t>
    </r>
    <r>
      <rPr>
        <sz val="10"/>
        <rFont val="Noto Sans CJK SC"/>
        <family val="2"/>
      </rPr>
      <t xml:space="preserve">카테고리 선택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</si>
  <si>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사진 게시</t>
    </r>
    <r>
      <rPr>
        <sz val="10"/>
        <rFont val="맑은 고딕"/>
        <family val="0"/>
        <charset val="1"/>
      </rPr>
      <t xml:space="preserve">: 2.5 </t>
    </r>
    <r>
      <rPr>
        <sz val="10"/>
        <rFont val="Noto Sans CJK SC"/>
        <family val="2"/>
      </rPr>
      <t xml:space="preserve">게시 완료</t>
    </r>
  </si>
  <si>
    <t xml:space="preserve">사진만 올리는 경우를 위해 제목은 선택값</t>
  </si>
  <si>
    <r>
      <rPr>
        <b val="true"/>
        <sz val="10"/>
        <rFont val="맑은 고딕"/>
        <family val="0"/>
        <charset val="1"/>
      </rPr>
      <t xml:space="preserve">2.4 </t>
    </r>
    <r>
      <rPr>
        <b val="true"/>
        <sz val="10"/>
        <rFont val="Noto Sans CJK SC"/>
        <family val="2"/>
      </rPr>
      <t xml:space="preserve">새 장소 만들기</t>
    </r>
  </si>
  <si>
    <t xml:space="preserve">장소 등록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</si>
  <si>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관광지가 아닌 장소를 이름과 현재 좌표로 등록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하루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개까지 생성 가능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</si>
  <si>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생성 완료</t>
    </r>
    <r>
      <rPr>
        <sz val="10"/>
        <rFont val="맑은 고딕"/>
        <family val="0"/>
        <charset val="1"/>
      </rPr>
      <t xml:space="preserve">: 2.3 </t>
    </r>
    <r>
      <rPr>
        <sz val="10"/>
        <rFont val="Noto Sans CJK SC"/>
        <family val="2"/>
      </rPr>
      <t xml:space="preserve">게시글 작성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</si>
  <si>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6.
</t>
    </r>
    <r>
      <rPr>
        <b val="true"/>
        <sz val="9"/>
        <color rgb="FFC00000"/>
        <rFont val="Noto Sans CJK SC"/>
        <family val="2"/>
      </rPr>
      <t xml:space="preserve">반경 </t>
    </r>
    <r>
      <rPr>
        <b val="true"/>
        <sz val="9"/>
        <color rgb="FFC00000"/>
        <rFont val="맑은 고딕"/>
        <family val="0"/>
        <charset val="1"/>
      </rPr>
      <t xml:space="preserve">100m </t>
    </r>
    <r>
      <rPr>
        <b val="true"/>
        <sz val="9"/>
        <color rgb="FFC00000"/>
        <rFont val="Noto Sans CJK SC"/>
        <family val="2"/>
      </rPr>
      <t xml:space="preserve">안에 같은 이름이 있으면 기존 장소를 재사용함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중복 판정 기준을 어디까지 느슨하게 할지 확정 필요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</si>
  <si>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2.5 </t>
    </r>
    <r>
      <rPr>
        <b val="true"/>
        <sz val="10"/>
        <rFont val="Noto Sans CJK SC"/>
        <family val="2"/>
      </rPr>
      <t xml:space="preserve">게시 완료</t>
    </r>
  </si>
  <si>
    <t xml:space="preserve">지도에 반영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</si>
  <si>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게시 후 내 사진이 지도에 마커로 표시되는 화면으로 이동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갱신 주기와 무관하게 즉시 반영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</si>
  <si>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확인</t>
    </r>
    <r>
      <rPr>
        <sz val="10"/>
        <rFont val="맑은 고딕"/>
        <family val="0"/>
        <charset val="1"/>
      </rPr>
      <t xml:space="preserve">: 0. </t>
    </r>
    <r>
      <rPr>
        <sz val="10"/>
        <rFont val="Noto Sans CJK SC"/>
        <family val="2"/>
      </rPr>
      <t xml:space="preserve">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</si>
  <si>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와이어프레임의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업로드 후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화면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시연 중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지금 올리면 바로 뜨나요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에 대응</t>
    </r>
  </si>
  <si>
    <r>
      <rPr>
        <sz val="10"/>
        <rFont val="Noto Sans CJK SC"/>
        <family val="2"/>
      </rPr>
      <t xml:space="preserve">인증 등급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한도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</si>
  <si>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위치 인증 등급 배지 표시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현장 인증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위치 확인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위치 미확인</t>
    </r>
    <r>
      <rPr>
        <sz val="10"/>
        <rFont val="맑은 고딕"/>
        <family val="0"/>
        <charset val="1"/>
      </rPr>
      <t xml:space="preserve">)
- </t>
    </r>
    <r>
      <rPr>
        <sz val="10"/>
        <rFont val="Noto Sans CJK SC"/>
        <family val="2"/>
      </rPr>
      <t xml:space="preserve">오늘 남은 업로드 가능 수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</si>
  <si>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확인</t>
    </r>
    <r>
      <rPr>
        <sz val="10"/>
        <rFont val="맑은 고딕"/>
        <family val="0"/>
        <charset val="1"/>
      </rPr>
      <t xml:space="preserve">: 6. </t>
    </r>
    <r>
      <rPr>
        <sz val="10"/>
        <rFont val="Noto Sans CJK SC"/>
        <family val="2"/>
      </rPr>
      <t xml:space="preserve">게시물 상세</t>
    </r>
  </si>
  <si>
    <r>
      <rPr>
        <sz val="9"/>
        <color rgb="FF595959"/>
        <rFont val="Noto Sans CJK SC"/>
        <family val="2"/>
      </rPr>
      <t xml:space="preserve">배지 명칭은 기술 용어</t>
    </r>
    <r>
      <rPr>
        <sz val="9"/>
        <color rgb="FF595959"/>
        <rFont val="맑은 고딕"/>
        <family val="0"/>
        <charset val="1"/>
      </rPr>
      <t xml:space="preserve">(GPS) </t>
    </r>
    <r>
      <rPr>
        <sz val="9"/>
        <color rgb="FF595959"/>
        <rFont val="Noto Sans CJK SC"/>
        <family val="2"/>
      </rPr>
      <t xml:space="preserve">대신 신뢰도 표현으로 통일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</si>
  <si>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이벤트
</t>
    </r>
    <r>
      <rPr>
        <b val="true"/>
        <sz val="10"/>
        <rFont val="맑은 고딕"/>
        <family val="0"/>
        <charset val="1"/>
      </rPr>
      <t xml:space="preserve">[nav ④]</t>
    </r>
  </si>
  <si>
    <r>
      <rPr>
        <b val="true"/>
        <sz val="10"/>
        <rFont val="맑은 고딕"/>
        <family val="0"/>
        <charset val="1"/>
      </rPr>
      <t xml:space="preserve">3.1 </t>
    </r>
    <r>
      <rPr>
        <b val="true"/>
        <sz val="10"/>
        <rFont val="Noto Sans CJK SC"/>
        <family val="2"/>
      </rPr>
      <t xml:space="preserve">행사 목록</t>
    </r>
  </si>
  <si>
    <t xml:space="preserve">진행중 행사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</si>
  <si>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현재 진행중인 지자체 행사를 목록으로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지역 필터 제공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</si>
  <si>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: 3.3 </t>
    </r>
    <r>
      <rPr>
        <sz val="10"/>
        <rFont val="Noto Sans CJK SC"/>
        <family val="2"/>
      </rPr>
      <t xml:space="preserve">행사 상세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</si>
  <si>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신규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관광공사 축제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행사 데이터 기반</t>
    </r>
  </si>
  <si>
    <t xml:space="preserve">예정 행사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</si>
  <si>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곧 시작하는 행사를 시작일 순으로 표시</t>
    </r>
  </si>
  <si>
    <r>
      <rPr>
        <b val="true"/>
        <sz val="10"/>
        <rFont val="맑은 고딕"/>
        <family val="0"/>
        <charset val="1"/>
      </rPr>
      <t xml:space="preserve">3.2 </t>
    </r>
    <r>
      <rPr>
        <b val="true"/>
        <sz val="10"/>
        <rFont val="Noto Sans CJK SC"/>
        <family val="2"/>
      </rPr>
      <t xml:space="preserve">주변 행사</t>
    </r>
  </si>
  <si>
    <t xml:space="preserve">내 주변 행사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</si>
  <si>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현재 위치 주변에서 진행중인 행사를 조회</t>
    </r>
  </si>
  <si>
    <t xml:space="preserve">주변 장소 조회와 같은 공간 쿼리를 재사용</t>
  </si>
  <si>
    <r>
      <rPr>
        <b val="true"/>
        <sz val="10"/>
        <rFont val="맑은 고딕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행사 상세</t>
    </r>
  </si>
  <si>
    <t xml:space="preserve">행사 정보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</si>
  <si>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</si>
  <si>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지도 보기</t>
    </r>
    <r>
      <rPr>
        <sz val="10"/>
        <rFont val="맑은 고딕"/>
        <family val="0"/>
        <charset val="1"/>
      </rPr>
      <t xml:space="preserve">: 0. </t>
    </r>
    <r>
      <rPr>
        <sz val="10"/>
        <rFont val="Noto Sans CJK SC"/>
        <family val="2"/>
      </rPr>
      <t xml:space="preserve">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)</t>
    </r>
  </si>
  <si>
    <t xml:space="preserve">관련 게시물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</si>
  <si>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 행사에 참여한 사용자의 사진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영상을 함께 표시</t>
    </r>
  </si>
  <si>
    <t xml:space="preserve">행사 태그 또는 장소 연결로 판정</t>
  </si>
  <si>
    <t xml:space="preserve">행사에 사진 올리기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</si>
  <si>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행사 상세에서 바로 업로드 화면으로 이동하고 행사 태그가 자동 선택됨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</si>
  <si>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: 2. </t>
    </r>
    <r>
      <rPr>
        <sz val="10"/>
        <rFont val="Noto Sans CJK SC"/>
        <family val="2"/>
      </rPr>
      <t xml:space="preserve">업로드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</si>
  <si>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7.
</t>
    </r>
    <r>
      <rPr>
        <b val="true"/>
        <sz val="9"/>
        <color rgb="FFC00000"/>
        <rFont val="Noto Sans CJK SC"/>
        <family val="2"/>
      </rPr>
      <t xml:space="preserve">영상 업로드를 이벤트에서만 허용할지 전체 게시물에 허용할지 확정 필요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전체 허용 시 전송 비용과 저장 용량이 빠르게 커짐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</si>
  <si>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마이페이지
</t>
    </r>
    <r>
      <rPr>
        <b val="true"/>
        <sz val="10"/>
        <rFont val="맑은 고딕"/>
        <family val="0"/>
        <charset val="1"/>
      </rPr>
      <t xml:space="preserve">[nav ⑤]</t>
    </r>
  </si>
  <si>
    <r>
      <rPr>
        <b val="true"/>
        <sz val="10"/>
        <rFont val="맑은 고딕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프로필</t>
    </r>
  </si>
  <si>
    <t xml:space="preserve">프로필 정보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</si>
  <si>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프로필 이미지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인기 지수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등급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개인 </t>
    </r>
    <r>
      <rPr>
        <sz val="10"/>
        <rFont val="맑은 고딕"/>
        <family val="0"/>
        <charset val="1"/>
      </rPr>
      <t xml:space="preserve">SNS </t>
    </r>
    <r>
      <rPr>
        <sz val="10"/>
        <rFont val="Noto Sans CJK SC"/>
        <family val="2"/>
      </rPr>
      <t xml:space="preserve">링크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</si>
  <si>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팔로잉</t>
    </r>
    <r>
      <rPr>
        <sz val="10"/>
        <rFont val="맑은 고딕"/>
        <family val="0"/>
        <charset val="1"/>
      </rPr>
      <t xml:space="preserve">: 8.2 / 8.3
- </t>
    </r>
    <r>
      <rPr>
        <sz val="10"/>
        <rFont val="Noto Sans CJK SC"/>
        <family val="2"/>
      </rPr>
      <t xml:space="preserve">수정</t>
    </r>
    <r>
      <rPr>
        <sz val="10"/>
        <rFont val="맑은 고딕"/>
        <family val="0"/>
        <charset val="1"/>
      </rPr>
      <t xml:space="preserve">: 4.5 </t>
    </r>
    <r>
      <rPr>
        <sz val="10"/>
        <rFont val="Noto Sans CJK SC"/>
        <family val="2"/>
      </rPr>
      <t xml:space="preserve">설정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</si>
  <si>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8.
</t>
    </r>
    <r>
      <rPr>
        <b val="true"/>
        <sz val="9"/>
        <color rgb="FFC00000"/>
        <rFont val="Noto Sans CJK SC"/>
        <family val="2"/>
      </rPr>
      <t xml:space="preserve">등급 명칭과 구간 확정 필요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구간을 좁게 잡으면 초반에 등급이 급하게 올라 의미가 희석됨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</si>
  <si>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개인 </t>
    </r>
    <r>
      <rPr>
        <sz val="10"/>
        <rFont val="맑은 고딕"/>
        <family val="0"/>
        <charset val="1"/>
      </rPr>
      <t xml:space="preserve">SNS </t>
    </r>
    <r>
      <rPr>
        <sz val="10"/>
        <rFont val="Noto Sans CJK SC"/>
        <family val="2"/>
      </rPr>
      <t xml:space="preserve">링크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</si>
  <si>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인스타그램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유튜브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블로그 링크를 등록하고 프로필에 노출</t>
    </r>
  </si>
  <si>
    <r>
      <rPr>
        <sz val="10"/>
        <rFont val="Noto Sans CJK SC"/>
        <family val="2"/>
      </rPr>
      <t xml:space="preserve">외부 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브라우저 호출</t>
    </r>
  </si>
  <si>
    <r>
      <rPr>
        <sz val="9"/>
        <color rgb="FF595959"/>
        <rFont val="Noto Sans CJK SC"/>
        <family val="2"/>
      </rPr>
      <t xml:space="preserve">★ 외부 링크는 허용 도메인 검증이 필요</t>
    </r>
    <r>
      <rPr>
        <sz val="9"/>
        <color rgb="FF595959"/>
        <rFont val="맑은 고딕"/>
        <family val="0"/>
        <charset val="1"/>
      </rPr>
      <t xml:space="preserve">.
</t>
    </r>
    <r>
      <rPr>
        <sz val="9"/>
        <color rgb="FF595959"/>
        <rFont val="Noto Sans CJK SC"/>
        <family val="2"/>
      </rPr>
      <t xml:space="preserve">검증 없이 받으면 피싱 링크 유포 통로가 됨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</si>
  <si>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알림 진입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뱃지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</si>
  <si>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읽지 않은 알림 수를 뱃지로 표시하고 탭하면 알림함으로 이동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</si>
  <si>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탭</t>
    </r>
    <r>
      <rPr>
        <sz val="10"/>
        <rFont val="맑은 고딕"/>
        <family val="0"/>
        <charset val="1"/>
      </rPr>
      <t xml:space="preserve">: 9. </t>
    </r>
    <r>
      <rPr>
        <sz val="10"/>
        <rFont val="Noto Sans CJK SC"/>
        <family val="2"/>
      </rPr>
      <t xml:space="preserve">알림</t>
    </r>
  </si>
  <si>
    <t xml:space="preserve">내비게이션에 알림 탭이 없어 마이페이지에 배치</t>
  </si>
  <si>
    <r>
      <rPr>
        <b val="true"/>
        <sz val="10"/>
        <rFont val="맑은 고딕"/>
        <family val="0"/>
        <charset val="1"/>
      </rPr>
      <t xml:space="preserve">4.2 </t>
    </r>
    <r>
      <rPr>
        <b val="true"/>
        <sz val="10"/>
        <rFont val="Noto Sans CJK SC"/>
        <family val="2"/>
      </rPr>
      <t xml:space="preserve">내 게시물</t>
    </r>
  </si>
  <si>
    <t xml:space="preserve">게시물 그리드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</si>
  <si>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내가 작성한 게시물을 높이가 다른 격자로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인증 등급별 필터 제공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</si>
  <si>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9.
</t>
    </r>
    <r>
      <rPr>
        <b val="true"/>
        <sz val="9"/>
        <color rgb="FFC00000"/>
        <rFont val="Noto Sans CJK SC"/>
        <family val="2"/>
      </rPr>
      <t xml:space="preserve">사진 규격이 </t>
    </r>
    <r>
      <rPr>
        <b val="true"/>
        <sz val="9"/>
        <color rgb="FFC00000"/>
        <rFont val="맑은 고딕"/>
        <family val="0"/>
        <charset val="1"/>
      </rPr>
      <t xml:space="preserve">1:1 / 16:9 </t>
    </r>
    <r>
      <rPr>
        <b val="true"/>
        <sz val="9"/>
        <color rgb="FFC00000"/>
        <rFont val="Noto Sans CJK SC"/>
        <family val="2"/>
      </rPr>
      <t xml:space="preserve">등으로 다양해 가변 높이 격자</t>
    </r>
    <r>
      <rPr>
        <b val="true"/>
        <sz val="9"/>
        <color rgb="FFC00000"/>
        <rFont val="맑은 고딕"/>
        <family val="0"/>
        <charset val="1"/>
      </rPr>
      <t xml:space="preserve">(masonry)</t>
    </r>
    <r>
      <rPr>
        <b val="true"/>
        <sz val="9"/>
        <color rgb="FFC00000"/>
        <rFont val="Noto Sans CJK SC"/>
        <family val="2"/>
      </rPr>
      <t xml:space="preserve">를 쓰기로 논의됨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구현 난도가 있으므로 </t>
    </r>
    <r>
      <rPr>
        <b val="true"/>
        <sz val="9"/>
        <color rgb="FFC00000"/>
        <rFont val="맑은 고딕"/>
        <family val="0"/>
        <charset val="1"/>
      </rPr>
      <t xml:space="preserve">1</t>
    </r>
    <r>
      <rPr>
        <b val="true"/>
        <sz val="9"/>
        <color rgb="FFC00000"/>
        <rFont val="Noto Sans CJK SC"/>
        <family val="2"/>
      </rPr>
      <t xml:space="preserve">차는 정사각 고정</t>
    </r>
    <r>
      <rPr>
        <b val="true"/>
        <sz val="9"/>
        <color rgb="FFC00000"/>
        <rFont val="맑은 고딕"/>
        <family val="0"/>
        <charset val="1"/>
      </rPr>
      <t xml:space="preserve">, 2</t>
    </r>
    <r>
      <rPr>
        <b val="true"/>
        <sz val="9"/>
        <color rgb="FFC00000"/>
        <rFont val="Noto Sans CJK SC"/>
        <family val="2"/>
      </rPr>
      <t xml:space="preserve">차에 가변으로 갈지 확정 필요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서버는 어느 쪽이든 대표 미디어 비율을 제공함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</si>
  <si>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4.3 </t>
    </r>
    <r>
      <rPr>
        <b val="true"/>
        <sz val="10"/>
        <rFont val="Noto Sans CJK SC"/>
        <family val="2"/>
      </rPr>
      <t xml:space="preserve">방문 기록</t>
    </r>
  </si>
  <si>
    <r>
      <rPr>
        <sz val="10"/>
        <rFont val="Noto Sans CJK SC"/>
        <family val="2"/>
      </rPr>
      <t xml:space="preserve">방문 기록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통계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</si>
  <si>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방문한 장소를 최신순으로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방문한 지역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 수와 지역별 분포를 지도로 표시</t>
    </r>
  </si>
  <si>
    <r>
      <rPr>
        <sz val="9"/>
        <color rgb="FF595959"/>
        <rFont val="맑은 고딕"/>
        <family val="0"/>
        <charset val="1"/>
      </rPr>
      <t xml:space="preserve">'17</t>
    </r>
    <r>
      <rPr>
        <sz val="9"/>
        <color rgb="FF595959"/>
        <rFont val="Noto Sans CJK SC"/>
        <family val="2"/>
      </rPr>
      <t xml:space="preserve">개 시도 중 </t>
    </r>
    <r>
      <rPr>
        <sz val="9"/>
        <color rgb="FF595959"/>
        <rFont val="맑은 고딕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곳 방문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형태로 수집 동기 부여</t>
    </r>
  </si>
  <si>
    <r>
      <rPr>
        <b val="true"/>
        <sz val="10"/>
        <rFont val="맑은 고딕"/>
        <family val="0"/>
        <charset val="1"/>
      </rPr>
      <t xml:space="preserve">4.4 </t>
    </r>
    <r>
      <rPr>
        <b val="true"/>
        <sz val="10"/>
        <rFont val="Noto Sans CJK SC"/>
        <family val="2"/>
      </rPr>
      <t xml:space="preserve">저장 목록</t>
    </r>
  </si>
  <si>
    <r>
      <rPr>
        <sz val="10"/>
        <rFont val="Noto Sans CJK SC"/>
        <family val="2"/>
      </rPr>
      <t xml:space="preserve">저장한 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</si>
  <si>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저장한 게시물과 장소를 구분하여 조회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</si>
  <si>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: 6. / 7.</t>
    </r>
  </si>
  <si>
    <r>
      <rPr>
        <b val="true"/>
        <sz val="10"/>
        <rFont val="맑은 고딕"/>
        <family val="0"/>
        <charset val="1"/>
      </rPr>
      <t xml:space="preserve">4.5 </t>
    </r>
    <r>
      <rPr>
        <b val="true"/>
        <sz val="10"/>
        <rFont val="Noto Sans CJK SC"/>
        <family val="2"/>
      </rPr>
      <t xml:space="preserve">설정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</si>
  <si>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소개글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프로필 이미지</t>
    </r>
    <r>
      <rPr>
        <sz val="10"/>
        <rFont val="맑은 고딕"/>
        <family val="0"/>
        <charset val="1"/>
      </rPr>
      <t xml:space="preserve">·SNS </t>
    </r>
    <r>
      <rPr>
        <sz val="10"/>
        <rFont val="Noto Sans CJK SC"/>
        <family val="2"/>
      </rPr>
      <t xml:space="preserve">링크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언어 수정</t>
    </r>
  </si>
  <si>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: 4. </t>
    </r>
    <r>
      <rPr>
        <sz val="10"/>
        <rFont val="Noto Sans CJK SC"/>
        <family val="2"/>
      </rPr>
      <t xml:space="preserve">마이페이지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</si>
  <si>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팔로잉 새 글 알림을 개별로 켜고 끔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</si>
  <si>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현재 비밀번호 확인 후 새 비밀번호로 변경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일반 로그인 계정만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</si>
  <si>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: 4.5 </t>
    </r>
    <r>
      <rPr>
        <sz val="10"/>
        <rFont val="Noto Sans CJK SC"/>
        <family val="2"/>
      </rPr>
      <t xml:space="preserve">설정</t>
    </r>
  </si>
  <si>
    <t xml:space="preserve">변경 시 다른 기기의 세션을 전부 종료할 것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</si>
  <si>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현재 기기 또는 전체 기기에서 로그아웃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</si>
  <si>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: 0. </t>
    </r>
    <r>
      <rPr>
        <sz val="10"/>
        <rFont val="Noto Sans CJK SC"/>
        <family val="2"/>
      </rPr>
      <t xml:space="preserve">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둘러보기 모드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</si>
  <si>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4.6 </t>
    </r>
    <r>
      <rPr>
        <b val="true"/>
        <sz val="10"/>
        <rFont val="Noto Sans CJK SC"/>
        <family val="2"/>
      </rPr>
      <t xml:space="preserve">계정 삭제</t>
    </r>
  </si>
  <si>
    <t xml:space="preserve">삭제 전 안내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</si>
  <si>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사라지는 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미디어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 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숫자로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</si>
  <si>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계속</t>
    </r>
    <r>
      <rPr>
        <sz val="10"/>
        <rFont val="맑은 고딕"/>
        <family val="0"/>
        <charset val="1"/>
      </rPr>
      <t xml:space="preserve">: 4.6 </t>
    </r>
    <r>
      <rPr>
        <sz val="10"/>
        <rFont val="Noto Sans CJK SC"/>
        <family val="2"/>
      </rPr>
      <t xml:space="preserve">콘텐츠 처리 선택</t>
    </r>
  </si>
  <si>
    <t xml:space="preserve">오조작 탈퇴를 줄이기 위한 단계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</si>
  <si>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게시물을 남길지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작성자만 익명 표시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전부 삭제할지 선택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</si>
  <si>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확인</t>
    </r>
    <r>
      <rPr>
        <sz val="10"/>
        <rFont val="맑은 고딕"/>
        <family val="0"/>
        <charset val="1"/>
      </rPr>
      <t xml:space="preserve">: 4.6 </t>
    </r>
    <r>
      <rPr>
        <sz val="10"/>
        <rFont val="Noto Sans CJK SC"/>
        <family val="2"/>
      </rPr>
      <t xml:space="preserve">삭제 실행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</si>
  <si>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10.
</t>
    </r>
    <r>
      <rPr>
        <b val="true"/>
        <sz val="9"/>
        <color rgb="FFC00000"/>
        <rFont val="Noto Sans CJK SC"/>
        <family val="2"/>
      </rPr>
      <t xml:space="preserve">기본 선택값 확정 필요</t>
    </r>
    <r>
      <rPr>
        <b val="true"/>
        <sz val="9"/>
        <color rgb="FFC00000"/>
        <rFont val="맑은 고딕"/>
        <family val="0"/>
        <charset val="1"/>
      </rPr>
      <t xml:space="preserve">. '</t>
    </r>
    <r>
      <rPr>
        <b val="true"/>
        <sz val="9"/>
        <color rgb="FFC00000"/>
        <rFont val="Noto Sans CJK SC"/>
        <family val="2"/>
      </rPr>
      <t xml:space="preserve">남기기</t>
    </r>
    <r>
      <rPr>
        <b val="true"/>
        <sz val="9"/>
        <color rgb="FFC00000"/>
        <rFont val="맑은 고딕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가 기본이면 랭킹 데이터는 보존되지만
사용자 기대와 다를 수 있음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</si>
  <si>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t xml:space="preserve">삭제 실행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</si>
  <si>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개인정보는 즉시 파기되고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뒤 계정이 완전히 삭제됨
</t>
    </r>
    <r>
      <rPr>
        <sz val="10"/>
        <rFont val="맑은 고딕"/>
        <family val="0"/>
        <charset val="1"/>
      </rPr>
      <t xml:space="preserve">- 30</t>
    </r>
    <r>
      <rPr>
        <sz val="10"/>
        <rFont val="Noto Sans CJK SC"/>
        <family val="2"/>
      </rPr>
      <t xml:space="preserve">일 이내 재로그인 시 복구 가능</t>
    </r>
  </si>
  <si>
    <r>
      <rPr>
        <sz val="9"/>
        <color rgb="FF595959"/>
        <rFont val="Noto Sans CJK SC"/>
        <family val="2"/>
      </rPr>
      <t xml:space="preserve">복구해도 이메일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닉네임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프로필 이미지는 돌아오지 않음 → 안내 문구 필수</t>
    </r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</si>
  <si>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지역 게시판</t>
    </r>
  </si>
  <si>
    <r>
      <rPr>
        <b val="true"/>
        <sz val="10"/>
        <rFont val="맑은 고딕"/>
        <family val="0"/>
        <charset val="1"/>
      </rPr>
      <t xml:space="preserve">5.1 </t>
    </r>
    <r>
      <rPr>
        <b val="true"/>
        <sz val="10"/>
        <rFont val="Noto Sans CJK SC"/>
        <family val="2"/>
      </rPr>
      <t xml:space="preserve">최신 탭</t>
    </r>
  </si>
  <si>
    <t xml:space="preserve">최신 게시물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</si>
  <si>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해당 지역의 게시물을 최신순으로 가변 높이 격자로 표시</t>
    </r>
  </si>
  <si>
    <t xml:space="preserve">홈 지도에서 지역 영역을 눌러 진입</t>
  </si>
  <si>
    <r>
      <rPr>
        <b val="true"/>
        <sz val="10"/>
        <rFont val="맑은 고딕"/>
        <family val="0"/>
        <charset val="1"/>
      </rPr>
      <t xml:space="preserve">5.2 </t>
    </r>
    <r>
      <rPr>
        <b val="true"/>
        <sz val="10"/>
        <rFont val="Noto Sans CJK SC"/>
        <family val="2"/>
      </rPr>
      <t xml:space="preserve">인기순 탭</t>
    </r>
  </si>
  <si>
    <t xml:space="preserve">기간별 인기 게시물</t>
  </si>
  <si>
    <r>
      <rPr>
        <sz val="10"/>
        <rFont val="맑은 고딕"/>
        <family val="0"/>
        <charset val="1"/>
      </rPr>
      <t xml:space="preserve">- 24</t>
    </r>
    <r>
      <rPr>
        <sz val="10"/>
        <rFont val="Noto Sans CJK SC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일주일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한달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전체 기간별 인기 게시물 표시</t>
    </r>
  </si>
  <si>
    <r>
      <rPr>
        <sz val="9"/>
        <color rgb="FF595959"/>
        <rFont val="Noto Sans CJK SC"/>
        <family val="2"/>
      </rPr>
      <t xml:space="preserve">와이어프레임에서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아마 후자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기간 분리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일 것 같다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고 정리된 방식으로 설계함</t>
    </r>
  </si>
  <si>
    <t xml:space="preserve">게시판 내 검색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</si>
  <si>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 지역 게시물 안에서 검색</t>
    </r>
  </si>
  <si>
    <r>
      <rPr>
        <sz val="10"/>
        <rFont val="Noto Sans CJK SC"/>
        <family val="2"/>
      </rPr>
      <t xml:space="preserve">결과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현재 페이지 유지</t>
    </r>
  </si>
  <si>
    <r>
      <rPr>
        <sz val="9"/>
        <color rgb="FF595959"/>
        <rFont val="Noto Sans CJK SC"/>
        <family val="2"/>
      </rPr>
      <t xml:space="preserve">커뮤니티 탭의 전체 검색과 별개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지역이 고정된 검색</t>
    </r>
  </si>
  <si>
    <t xml:space="preserve">팔로잉 가중치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</si>
  <si>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팔로우한 사용자의 게시물이 위쪽에 노출되고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팔로잉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뱃지 표시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</si>
  <si>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확정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팔로우 기능의 주 활용처</t>
    </r>
    <r>
      <rPr>
        <sz val="9"/>
        <color rgb="FF595959"/>
        <rFont val="맑은 고딕"/>
        <family val="0"/>
        <charset val="1"/>
      </rPr>
      <t xml:space="preserve">.
</t>
    </r>
    <r>
      <rPr>
        <sz val="9"/>
        <color rgb="FF595959"/>
        <rFont val="Noto Sans CJK SC"/>
        <family val="2"/>
      </rPr>
      <t xml:space="preserve">주의 </t>
    </r>
    <r>
      <rPr>
        <sz val="9"/>
        <color rgb="FF595959"/>
        <rFont val="맑은 고딕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가중치가 세면 팔로잉 글만 보여 새로운 발견이 막힘 → 상수로 분리해 튜닝</t>
    </r>
    <r>
      <rPr>
        <sz val="9"/>
        <color rgb="FF595959"/>
        <rFont val="맑은 고딕"/>
        <family val="0"/>
        <charset val="1"/>
      </rPr>
      <t xml:space="preserve">.
</t>
    </r>
    <r>
      <rPr>
        <sz val="9"/>
        <color rgb="FF595959"/>
        <rFont val="Noto Sans CJK SC"/>
        <family val="2"/>
      </rPr>
      <t xml:space="preserve">주의 </t>
    </r>
    <r>
      <rPr>
        <sz val="9"/>
        <color rgb="FF595959"/>
        <rFont val="맑은 고딕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개인화는 첫 페이지에만 적용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전체 적용 시 사용자마다 순서가 달라 목록 캐시를 못 씀</t>
    </r>
    <r>
      <rPr>
        <sz val="9"/>
        <color rgb="FF595959"/>
        <rFont val="맑은 고딕"/>
        <family val="0"/>
        <charset val="1"/>
      </rPr>
      <t xml:space="preserve">.
</t>
    </r>
    <r>
      <rPr>
        <sz val="9"/>
        <color rgb="FF595959"/>
        <rFont val="Noto Sans CJK SC"/>
        <family val="2"/>
      </rPr>
      <t xml:space="preserve">주의 </t>
    </r>
    <r>
      <rPr>
        <sz val="9"/>
        <color rgb="FF595959"/>
        <rFont val="맑은 고딕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팔로잉이 </t>
    </r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명이면 효과가 없으므로 추천 사용자 노출이 필요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</si>
  <si>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5.3 </t>
    </r>
    <r>
      <rPr>
        <b val="true"/>
        <sz val="10"/>
        <rFont val="Noto Sans CJK SC"/>
        <family val="2"/>
      </rPr>
      <t xml:space="preserve">태그별 탭</t>
    </r>
  </si>
  <si>
    <t xml:space="preserve">지역 태그 목록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</si>
  <si>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 지역에서 많이 쓰인 태그를 게시물 수 순으로 표시
 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#</t>
    </r>
    <r>
      <rPr>
        <sz val="10"/>
        <rFont val="Noto Sans CJK SC"/>
        <family val="2"/>
      </rPr>
      <t xml:space="preserve">한옥마을 </t>
    </r>
    <r>
      <rPr>
        <sz val="10"/>
        <rFont val="맑은 고딕"/>
        <family val="0"/>
        <charset val="1"/>
      </rPr>
      <t xml:space="preserve">#</t>
    </r>
    <r>
      <rPr>
        <sz val="10"/>
        <rFont val="Noto Sans CJK SC"/>
        <family val="2"/>
      </rPr>
      <t xml:space="preserve">임실치즈축제 </t>
    </r>
    <r>
      <rPr>
        <sz val="10"/>
        <rFont val="맑은 고딕"/>
        <family val="0"/>
        <charset val="1"/>
      </rPr>
      <t xml:space="preserve">#</t>
    </r>
    <r>
      <rPr>
        <sz val="10"/>
        <rFont val="Noto Sans CJK SC"/>
        <family val="2"/>
      </rPr>
      <t xml:space="preserve">진안홍삼축제 </t>
    </r>
    <r>
      <rPr>
        <sz val="10"/>
        <rFont val="맑은 고딕"/>
        <family val="0"/>
        <charset val="1"/>
      </rPr>
      <t xml:space="preserve">#</t>
    </r>
    <r>
      <rPr>
        <sz val="10"/>
        <rFont val="Noto Sans CJK SC"/>
        <family val="2"/>
      </rPr>
      <t xml:space="preserve">군산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</si>
  <si>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태그 선택</t>
    </r>
    <r>
      <rPr>
        <sz val="10"/>
        <rFont val="맑은 고딕"/>
        <family val="0"/>
        <charset val="1"/>
      </rPr>
      <t xml:space="preserve">: 5.3 </t>
    </r>
    <r>
      <rPr>
        <sz val="10"/>
        <rFont val="Noto Sans CJK SC"/>
        <family val="2"/>
      </rPr>
      <t xml:space="preserve">태그 게시물</t>
    </r>
  </si>
  <si>
    <t xml:space="preserve">매 요청 집계하지 않고 배치로 미리 만든 집계를 읽음</t>
  </si>
  <si>
    <t xml:space="preserve">태그 게시물 목록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</si>
  <si>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선택한 태그가 달린 게시물을 표시</t>
    </r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</si>
  <si>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Noto Sans CJK SC"/>
        <family val="2"/>
      </rPr>
      <t xml:space="preserve">게시물 상세</t>
    </r>
  </si>
  <si>
    <r>
      <rPr>
        <b val="true"/>
        <sz val="10"/>
        <rFont val="맑은 고딕"/>
        <family val="0"/>
        <charset val="1"/>
      </rPr>
      <t xml:space="preserve">6.1 </t>
    </r>
    <r>
      <rPr>
        <b val="true"/>
        <sz val="10"/>
        <rFont val="Noto Sans CJK SC"/>
        <family val="2"/>
      </rPr>
      <t xml:space="preserve">본문</t>
    </r>
  </si>
  <si>
    <r>
      <rPr>
        <sz val="10"/>
        <rFont val="Noto Sans CJK SC"/>
        <family val="2"/>
      </rPr>
      <t xml:space="preserve">미디어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본문 조회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</si>
  <si>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영상 스와이프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본문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작성자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태그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인증 배지 표시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</si>
  <si>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작성자</t>
    </r>
    <r>
      <rPr>
        <sz val="10"/>
        <rFont val="맑은 고딕"/>
        <family val="0"/>
        <charset val="1"/>
      </rPr>
      <t xml:space="preserve">: 8. </t>
    </r>
    <r>
      <rPr>
        <sz val="10"/>
        <rFont val="Noto Sans CJK SC"/>
        <family val="2"/>
      </rPr>
      <t xml:space="preserve">프로필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: 7. </t>
    </r>
    <r>
      <rPr>
        <sz val="10"/>
        <rFont val="Noto Sans CJK SC"/>
        <family val="2"/>
      </rPr>
      <t xml:space="preserve">장소 상세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태그</t>
    </r>
    <r>
      <rPr>
        <sz val="10"/>
        <rFont val="맑은 고딕"/>
        <family val="0"/>
        <charset val="1"/>
      </rPr>
      <t xml:space="preserve">: 5.3 </t>
    </r>
    <r>
      <rPr>
        <sz val="10"/>
        <rFont val="Noto Sans CJK SC"/>
        <family val="2"/>
      </rPr>
      <t xml:space="preserve">태그 게시물</t>
    </r>
  </si>
  <si>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공유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</si>
  <si>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좋아요 등록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취소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외부 공유</t>
    </r>
  </si>
  <si>
    <r>
      <rPr>
        <sz val="10"/>
        <rFont val="Noto Sans CJK SC"/>
        <family val="2"/>
      </rPr>
      <t xml:space="preserve">비로그인</t>
    </r>
    <r>
      <rPr>
        <sz val="10"/>
        <rFont val="맑은 고딕"/>
        <family val="0"/>
        <charset val="1"/>
      </rPr>
      <t xml:space="preserve">: 10.1 </t>
    </r>
    <r>
      <rPr>
        <sz val="10"/>
        <rFont val="Noto Sans CJK SC"/>
        <family val="2"/>
      </rPr>
      <t xml:space="preserve">로그인 시트</t>
    </r>
  </si>
  <si>
    <r>
      <rPr>
        <sz val="9"/>
        <color rgb="FF595959"/>
        <rFont val="Noto Sans CJK SC"/>
        <family val="2"/>
      </rPr>
      <t xml:space="preserve">좋아요 시 작성자에게 푸시 알림 발송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자기 글 제외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</si>
  <si>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신고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</si>
  <si>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자신의 게시물 수정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타인 게시물 신고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</si>
  <si>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삭제 완료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직전 목록</t>
    </r>
  </si>
  <si>
    <r>
      <rPr>
        <sz val="9"/>
        <color rgb="FF595959"/>
        <rFont val="Noto Sans CJK SC"/>
        <family val="2"/>
      </rPr>
      <t xml:space="preserve">위치와 인증 등급은 수정 불가 — 인증 체계 보호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신고 </t>
    </r>
    <r>
      <rPr>
        <sz val="9"/>
        <color rgb="FF595959"/>
        <rFont val="맑은 고딕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회 누적 시 자동 숨김</t>
    </r>
  </si>
  <si>
    <r>
      <rPr>
        <b val="true"/>
        <sz val="10"/>
        <rFont val="맑은 고딕"/>
        <family val="0"/>
        <charset val="1"/>
      </rPr>
      <t xml:space="preserve">6.2 </t>
    </r>
    <r>
      <rPr>
        <b val="true"/>
        <sz val="10"/>
        <rFont val="Noto Sans CJK SC"/>
        <family val="2"/>
      </rPr>
      <t xml:space="preserve">댓글</t>
    </r>
  </si>
  <si>
    <r>
      <rPr>
        <sz val="10"/>
        <rFont val="Noto Sans CJK SC"/>
        <family val="2"/>
      </rPr>
      <t xml:space="preserve">댓글 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</si>
  <si>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댓글과 대댓글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조회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자신의 댓글 수정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댓글 좋아요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</si>
  <si>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작성자</t>
    </r>
    <r>
      <rPr>
        <sz val="10"/>
        <rFont val="맑은 고딕"/>
        <family val="0"/>
        <charset val="1"/>
      </rPr>
      <t xml:space="preserve">: 8. </t>
    </r>
    <r>
      <rPr>
        <sz val="10"/>
        <rFont val="Noto Sans CJK SC"/>
        <family val="2"/>
      </rPr>
      <t xml:space="preserve">프로필</t>
    </r>
  </si>
  <si>
    <r>
      <rPr>
        <sz val="9"/>
        <color rgb="FF595959"/>
        <rFont val="Noto Sans CJK SC"/>
        <family val="2"/>
      </rPr>
      <t xml:space="preserve">대댓글이 있는 댓글 삭제 시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삭제된 댓글입니다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로 표시하고 자식은 유지</t>
    </r>
  </si>
  <si>
    <r>
      <rPr>
        <b val="true"/>
        <sz val="10"/>
        <rFont val="맑은 고딕"/>
        <family val="0"/>
        <charset val="1"/>
      </rPr>
      <t xml:space="preserve">7. </t>
    </r>
    <r>
      <rPr>
        <b val="true"/>
        <sz val="10"/>
        <rFont val="Noto Sans CJK SC"/>
        <family val="2"/>
      </rPr>
      <t xml:space="preserve">장소 상세</t>
    </r>
  </si>
  <si>
    <r>
      <rPr>
        <b val="true"/>
        <sz val="10"/>
        <rFont val="맑은 고딕"/>
        <family val="0"/>
        <charset val="1"/>
      </rPr>
      <t xml:space="preserve">7.1 </t>
    </r>
    <r>
      <rPr>
        <b val="true"/>
        <sz val="10"/>
        <rFont val="Noto Sans CJK SC"/>
        <family val="2"/>
      </rPr>
      <t xml:space="preserve">기본 정보</t>
    </r>
  </si>
  <si>
    <r>
      <rPr>
        <sz val="10"/>
        <rFont val="Noto Sans CJK SC"/>
        <family val="2"/>
      </rPr>
      <t xml:space="preserve">장소 정보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랭킹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</si>
  <si>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공식 이미지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게시물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방문자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인증 등급 분포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지역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전국 순위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</si>
  <si>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랭킹</t>
    </r>
    <r>
      <rPr>
        <sz val="10"/>
        <rFont val="맑은 고딕"/>
        <family val="0"/>
        <charset val="1"/>
      </rPr>
      <t xml:space="preserve">: 1.2 </t>
    </r>
    <r>
      <rPr>
        <sz val="10"/>
        <rFont val="Noto Sans CJK SC"/>
        <family val="2"/>
      </rPr>
      <t xml:space="preserve">인기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추천</t>
    </r>
  </si>
  <si>
    <t xml:space="preserve">공식 이미지와 사용자 사진은 저작권이 달라 구분 표시</t>
  </si>
  <si>
    <r>
      <rPr>
        <b val="true"/>
        <sz val="10"/>
        <rFont val="맑은 고딕"/>
        <family val="0"/>
        <charset val="1"/>
      </rPr>
      <t xml:space="preserve">7.2 </t>
    </r>
    <r>
      <rPr>
        <b val="true"/>
        <sz val="10"/>
        <rFont val="Noto Sans CJK SC"/>
        <family val="2"/>
      </rPr>
      <t xml:space="preserve">사용자 사진</t>
    </r>
  </si>
  <si>
    <t xml:space="preserve">사진 갤러리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</si>
  <si>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 장소에서 촬영된 게시물을 격자로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인증 등급 필터</t>
    </r>
  </si>
  <si>
    <r>
      <rPr>
        <b val="true"/>
        <sz val="10"/>
        <rFont val="맑은 고딕"/>
        <family val="0"/>
        <charset val="1"/>
      </rPr>
      <t xml:space="preserve">7.3 </t>
    </r>
    <r>
      <rPr>
        <b val="true"/>
        <sz val="10"/>
        <rFont val="Noto Sans CJK SC"/>
        <family val="2"/>
      </rPr>
      <t xml:space="preserve">주변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방문</t>
    </r>
  </si>
  <si>
    <r>
      <rPr>
        <sz val="10"/>
        <rFont val="Noto Sans CJK SC"/>
        <family val="2"/>
      </rPr>
      <t xml:space="preserve">주변 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체크인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저장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</si>
  <si>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반경 </t>
    </r>
    <r>
      <rPr>
        <sz val="10"/>
        <rFont val="맑은 고딕"/>
        <family val="0"/>
        <charset val="1"/>
      </rPr>
      <t xml:space="preserve">3km </t>
    </r>
    <r>
      <rPr>
        <sz val="10"/>
        <rFont val="Noto Sans CJK SC"/>
        <family val="2"/>
      </rPr>
      <t xml:space="preserve">이내 장소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사진 없이 방문 기록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체크인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장소 저장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</si>
  <si>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: 7. </t>
    </r>
    <r>
      <rPr>
        <sz val="10"/>
        <rFont val="Noto Sans CJK SC"/>
        <family val="2"/>
      </rPr>
      <t xml:space="preserve">장소 상세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재진입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</si>
  <si>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체크인은 인증 반경 안에서만 가능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같은 날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회</t>
    </r>
  </si>
  <si>
    <r>
      <rPr>
        <b val="true"/>
        <sz val="10"/>
        <rFont val="맑은 고딕"/>
        <family val="0"/>
        <charset val="1"/>
      </rPr>
      <t xml:space="preserve">7.4 </t>
    </r>
    <r>
      <rPr>
        <b val="true"/>
        <sz val="10"/>
        <rFont val="Noto Sans CJK SC"/>
        <family val="2"/>
      </rPr>
      <t xml:space="preserve">방문자</t>
    </r>
  </si>
  <si>
    <t xml:space="preserve">방문자 목록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</si>
  <si>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 장소를 방문한 사용자 목록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</si>
  <si>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: 8. </t>
    </r>
    <r>
      <rPr>
        <sz val="10"/>
        <rFont val="Noto Sans CJK SC"/>
        <family val="2"/>
      </rPr>
      <t xml:space="preserve">프로필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</si>
  <si>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11.
</t>
    </r>
    <r>
      <rPr>
        <b val="true"/>
        <sz val="9"/>
        <color rgb="FFC00000"/>
        <rFont val="Noto Sans CJK SC"/>
        <family val="2"/>
      </rPr>
      <t xml:space="preserve">방문자 공개 범위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프라이버시 우려가 있으면 비공개 설정 옵션 필요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</si>
  <si>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8. </t>
    </r>
    <r>
      <rPr>
        <b val="true"/>
        <sz val="10"/>
        <rFont val="Noto Sans CJK SC"/>
        <family val="2"/>
      </rPr>
      <t xml:space="preserve">프로필</t>
    </r>
  </si>
  <si>
    <r>
      <rPr>
        <b val="true"/>
        <sz val="10"/>
        <rFont val="맑은 고딕"/>
        <family val="0"/>
        <charset val="1"/>
      </rPr>
      <t xml:space="preserve">8.1 </t>
    </r>
    <r>
      <rPr>
        <b val="true"/>
        <sz val="10"/>
        <rFont val="Noto Sans CJK SC"/>
        <family val="2"/>
      </rPr>
      <t xml:space="preserve">프로필 조회</t>
    </r>
  </si>
  <si>
    <r>
      <rPr>
        <sz val="10"/>
        <rFont val="Noto Sans CJK SC"/>
        <family val="2"/>
      </rPr>
      <t xml:space="preserve">프로필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게시물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</si>
  <si>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이름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인기 지수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·SNS </t>
    </r>
    <r>
      <rPr>
        <sz val="10"/>
        <rFont val="Noto Sans CJK SC"/>
        <family val="2"/>
      </rPr>
      <t xml:space="preserve">링크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게시물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팔로잉 수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게시물 격자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</si>
  <si>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게시물</t>
    </r>
    <r>
      <rPr>
        <sz val="10"/>
        <rFont val="맑은 고딕"/>
        <family val="0"/>
        <charset val="1"/>
      </rPr>
      <t xml:space="preserve">: 6. </t>
    </r>
    <r>
      <rPr>
        <sz val="10"/>
        <rFont val="Noto Sans CJK SC"/>
        <family val="2"/>
      </rPr>
      <t xml:space="preserve">게시물 상세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팔로잉</t>
    </r>
    <r>
      <rPr>
        <sz val="10"/>
        <rFont val="맑은 고딕"/>
        <family val="0"/>
        <charset val="1"/>
      </rPr>
      <t xml:space="preserve">: 8.2 / 8.3</t>
    </r>
  </si>
  <si>
    <r>
      <rPr>
        <sz val="10"/>
        <rFont val="Noto Sans CJK SC"/>
        <family val="2"/>
      </rPr>
      <t xml:space="preserve">팔로우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언팔로우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</si>
  <si>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팔로우하거나 취소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팔로우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팔로잉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맞팔로우 상태 표시</t>
    </r>
  </si>
  <si>
    <r>
      <rPr>
        <sz val="9"/>
        <color rgb="FF595959"/>
        <rFont val="Noto Sans CJK SC"/>
        <family val="2"/>
      </rPr>
      <t xml:space="preserve">상대에게 푸시 알림 발송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하루 </t>
    </r>
    <r>
      <rPr>
        <sz val="9"/>
        <color rgb="FF595959"/>
        <rFont val="맑은 고딕"/>
        <family val="0"/>
        <charset val="1"/>
      </rPr>
      <t xml:space="preserve">200</t>
    </r>
    <r>
      <rPr>
        <sz val="9"/>
        <color rgb="FF595959"/>
        <rFont val="Noto Sans CJK SC"/>
        <family val="2"/>
      </rPr>
      <t xml:space="preserve">회 제한</t>
    </r>
  </si>
  <si>
    <r>
      <rPr>
        <b val="true"/>
        <sz val="10"/>
        <rFont val="맑은 고딕"/>
        <family val="0"/>
        <charset val="1"/>
      </rPr>
      <t xml:space="preserve">8.2 </t>
    </r>
    <r>
      <rPr>
        <b val="true"/>
        <sz val="10"/>
        <rFont val="Noto Sans CJK SC"/>
        <family val="2"/>
      </rPr>
      <t xml:space="preserve">팔로워 목록</t>
    </r>
  </si>
  <si>
    <t xml:space="preserve">팔로워 조회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</si>
  <si>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나를 팔로우한 사용자 목록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</si>
  <si>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: 8.1 </t>
    </r>
    <r>
      <rPr>
        <sz val="10"/>
        <rFont val="Noto Sans CJK SC"/>
        <family val="2"/>
      </rPr>
      <t xml:space="preserve">프로필</t>
    </r>
  </si>
  <si>
    <r>
      <rPr>
        <b val="true"/>
        <sz val="10"/>
        <rFont val="맑은 고딕"/>
        <family val="0"/>
        <charset val="1"/>
      </rPr>
      <t xml:space="preserve">8.3 </t>
    </r>
    <r>
      <rPr>
        <b val="true"/>
        <sz val="10"/>
        <rFont val="Noto Sans CJK SC"/>
        <family val="2"/>
      </rPr>
      <t xml:space="preserve">팔로잉 목록</t>
    </r>
  </si>
  <si>
    <t xml:space="preserve">팔로잉 조회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</si>
  <si>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내가 팔로우한 사용자 목록</t>
    </r>
  </si>
  <si>
    <r>
      <rPr>
        <b val="true"/>
        <sz val="10"/>
        <rFont val="맑은 고딕"/>
        <family val="0"/>
        <charset val="1"/>
      </rPr>
      <t xml:space="preserve">8.4 </t>
    </r>
    <r>
      <rPr>
        <b val="true"/>
        <sz val="10"/>
        <rFont val="Noto Sans CJK SC"/>
        <family val="2"/>
      </rPr>
      <t xml:space="preserve">추천 사용자</t>
    </r>
  </si>
  <si>
    <t xml:space="preserve">팔로우 추천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</si>
  <si>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팔로우한 사용자가 없거나 적을 때 팔로우할 만한 사용자를 추천</t>
    </r>
  </si>
  <si>
    <r>
      <rPr>
        <sz val="9"/>
        <color rgb="FF595959"/>
        <rFont val="Noto Sans CJK SC"/>
        <family val="2"/>
      </rPr>
      <t xml:space="preserve">팔로잉이 </t>
    </r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명이면 게시판 가중치 정렬이 아무 효과가 없음</t>
    </r>
  </si>
  <si>
    <r>
      <rPr>
        <b val="true"/>
        <sz val="10"/>
        <rFont val="맑은 고딕"/>
        <family val="0"/>
        <charset val="1"/>
      </rPr>
      <t xml:space="preserve">9. </t>
    </r>
    <r>
      <rPr>
        <b val="true"/>
        <sz val="10"/>
        <rFont val="Noto Sans CJK SC"/>
        <family val="2"/>
      </rPr>
      <t xml:space="preserve">알림</t>
    </r>
  </si>
  <si>
    <r>
      <rPr>
        <b val="true"/>
        <sz val="10"/>
        <rFont val="맑은 고딕"/>
        <family val="0"/>
        <charset val="1"/>
      </rPr>
      <t xml:space="preserve">9.1 </t>
    </r>
    <r>
      <rPr>
        <b val="true"/>
        <sz val="10"/>
        <rFont val="Noto Sans CJK SC"/>
        <family val="2"/>
      </rPr>
      <t xml:space="preserve">알림함</t>
    </r>
  </si>
  <si>
    <r>
      <rPr>
        <sz val="10"/>
        <rFont val="Noto Sans CJK SC"/>
        <family val="2"/>
      </rPr>
      <t xml:space="preserve">알림 목록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읽음 처리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</si>
  <si>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팔로잉 새 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등급 상승 알림을 최신순으로 표시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개별 또는 전체 읽음 처리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</si>
  <si>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좋아요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댓글</t>
    </r>
    <r>
      <rPr>
        <sz val="10"/>
        <rFont val="맑은 고딕"/>
        <family val="0"/>
        <charset val="1"/>
      </rPr>
      <t xml:space="preserve">: 6. </t>
    </r>
    <r>
      <rPr>
        <sz val="10"/>
        <rFont val="Noto Sans CJK SC"/>
        <family val="2"/>
      </rPr>
      <t xml:space="preserve">게시물 상세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팔로우</t>
    </r>
    <r>
      <rPr>
        <sz val="10"/>
        <rFont val="맑은 고딕"/>
        <family val="0"/>
        <charset val="1"/>
      </rPr>
      <t xml:space="preserve">: 8. </t>
    </r>
    <r>
      <rPr>
        <sz val="10"/>
        <rFont val="Noto Sans CJK SC"/>
        <family val="2"/>
      </rPr>
      <t xml:space="preserve">프로필</t>
    </r>
  </si>
  <si>
    <t xml:space="preserve">알림 문구는 서버가 준 코드와 값으로 앱이 언어에 맞게 조립</t>
  </si>
  <si>
    <r>
      <rPr>
        <b val="true"/>
        <sz val="10"/>
        <rFont val="맑은 고딕"/>
        <family val="0"/>
        <charset val="1"/>
      </rPr>
      <t xml:space="preserve">9.2 </t>
    </r>
    <r>
      <rPr>
        <b val="true"/>
        <sz val="10"/>
        <rFont val="Noto Sans CJK SC"/>
        <family val="2"/>
      </rPr>
      <t xml:space="preserve">푸시 수신</t>
    </r>
  </si>
  <si>
    <t xml:space="preserve">푸시 알림 수신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</si>
  <si>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앱이 꺼져 있어도 푸시를 수신하고 탭하면 해당 화면으로 이동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</si>
  <si>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알림 종류별 대상 화면으로 이동</t>
    </r>
  </si>
  <si>
    <r>
      <rPr>
        <sz val="9"/>
        <color rgb="FF595959"/>
        <rFont val="Noto Sans CJK SC"/>
        <family val="2"/>
      </rPr>
      <t xml:space="preserve">앱 시작 시마다 푸시 토큰 갱신 필요 — 미갱신이 푸시 미수신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위 원인</t>
    </r>
  </si>
  <si>
    <r>
      <rPr>
        <b val="true"/>
        <sz val="10"/>
        <rFont val="맑은 고딕"/>
        <family val="0"/>
        <charset val="1"/>
      </rPr>
      <t xml:space="preserve">10. </t>
    </r>
    <r>
      <rPr>
        <b val="true"/>
        <sz val="10"/>
        <rFont val="Noto Sans CJK SC"/>
        <family val="2"/>
      </rPr>
      <t xml:space="preserve">계정</t>
    </r>
  </si>
  <si>
    <r>
      <rPr>
        <b val="true"/>
        <sz val="10"/>
        <rFont val="맑은 고딕"/>
        <family val="0"/>
        <charset val="1"/>
      </rPr>
      <t xml:space="preserve">10.1 </t>
    </r>
    <r>
      <rPr>
        <b val="true"/>
        <sz val="10"/>
        <rFont val="Noto Sans CJK SC"/>
        <family val="2"/>
      </rPr>
      <t xml:space="preserve">로그인</t>
    </r>
  </si>
  <si>
    <r>
      <rPr>
        <sz val="10"/>
        <rFont val="Noto Sans CJK SC"/>
        <family val="2"/>
      </rPr>
      <t xml:space="preserve">아이디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 로그인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</si>
  <si>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아이디와 비밀번호로 로그인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성공 시 직전 화면으로 복귀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</si>
  <si>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회원가입</t>
    </r>
    <r>
      <rPr>
        <sz val="10"/>
        <rFont val="맑은 고딕"/>
        <family val="0"/>
        <charset val="1"/>
      </rPr>
      <t xml:space="preserve">: 10.2
- </t>
    </r>
    <r>
      <rPr>
        <sz val="10"/>
        <rFont val="Noto Sans CJK SC"/>
        <family val="2"/>
      </rPr>
      <t xml:space="preserve">성공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직전 화면</t>
    </r>
  </si>
  <si>
    <r>
      <rPr>
        <sz val="9"/>
        <color rgb="FF595959"/>
        <rFont val="Noto Sans CJK SC"/>
        <family val="2"/>
      </rPr>
      <t xml:space="preserve">아이디 오류와 비밀번호 오류를 구분해 응답하지 않음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계정 존재 여부 노출 방지</t>
    </r>
    <r>
      <rPr>
        <sz val="9"/>
        <color rgb="FF595959"/>
        <rFont val="맑은 고딕"/>
        <family val="0"/>
        <charset val="1"/>
      </rPr>
      <t xml:space="preserve">)</t>
    </r>
  </si>
  <si>
    <t xml:space="preserve">구글 계정으로 로그인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</si>
  <si>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구글 계정 선택 후 로그인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최초면 프로필 정보로 자동 가입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</si>
  <si>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신규</t>
    </r>
    <r>
      <rPr>
        <sz val="10"/>
        <rFont val="맑은 고딕"/>
        <family val="0"/>
        <charset val="1"/>
      </rPr>
      <t xml:space="preserve">: 10.3 </t>
    </r>
    <r>
      <rPr>
        <sz val="10"/>
        <rFont val="Noto Sans CJK SC"/>
        <family val="2"/>
      </rPr>
      <t xml:space="preserve">프로필 초기 설정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탈퇴 유예 계정</t>
    </r>
    <r>
      <rPr>
        <sz val="10"/>
        <rFont val="맑은 고딕"/>
        <family val="0"/>
        <charset val="1"/>
      </rPr>
      <t xml:space="preserve">: 10.4 </t>
    </r>
    <r>
      <rPr>
        <sz val="10"/>
        <rFont val="Noto Sans CJK SC"/>
        <family val="2"/>
      </rPr>
      <t xml:space="preserve">계정 복구</t>
    </r>
  </si>
  <si>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확정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소셜 로그인은 구글 단독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다른 제공자는 추가하지 않는다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</si>
  <si>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자동 로그인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</si>
  <si>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저장된 토큰으로 자동 로그인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만료 시 재발급 후 원래 요청 재시도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</si>
  <si>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재발급 실패</t>
    </r>
    <r>
      <rPr>
        <sz val="10"/>
        <rFont val="맑은 고딕"/>
        <family val="0"/>
        <charset val="1"/>
      </rPr>
      <t xml:space="preserve">: 0. </t>
    </r>
    <r>
      <rPr>
        <sz val="10"/>
        <rFont val="Noto Sans CJK SC"/>
        <family val="2"/>
      </rPr>
      <t xml:space="preserve">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둘러보기 모드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</si>
  <si>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앱은 </t>
    </r>
    <r>
      <rPr>
        <sz val="9"/>
        <color rgb="FF595959"/>
        <rFont val="맑은 고딕"/>
        <family val="0"/>
        <charset val="1"/>
      </rPr>
      <t xml:space="preserve">401 </t>
    </r>
    <r>
      <rPr>
        <sz val="9"/>
        <color rgb="FF595959"/>
        <rFont val="Noto Sans CJK SC"/>
        <family val="2"/>
      </rPr>
      <t xml:space="preserve">응답 시 자동 재발급 인터셉터 구현 필요</t>
    </r>
  </si>
  <si>
    <r>
      <rPr>
        <b val="true"/>
        <sz val="10"/>
        <rFont val="맑은 고딕"/>
        <family val="0"/>
        <charset val="1"/>
      </rPr>
      <t xml:space="preserve">10.2 </t>
    </r>
    <r>
      <rPr>
        <b val="true"/>
        <sz val="10"/>
        <rFont val="Noto Sans CJK SC"/>
        <family val="2"/>
      </rPr>
      <t xml:space="preserve">회원가입</t>
    </r>
  </si>
  <si>
    <r>
      <rPr>
        <sz val="10"/>
        <rFont val="Noto Sans CJK SC"/>
        <family val="2"/>
      </rPr>
      <t xml:space="preserve">아이디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 입력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</si>
  <si>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아이디 입력 후 중복 확인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비밀번호와 비밀번호 확인 입력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</si>
  <si>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가입 완료</t>
    </r>
    <r>
      <rPr>
        <sz val="10"/>
        <rFont val="맑은 고딕"/>
        <family val="0"/>
        <charset val="1"/>
      </rPr>
      <t xml:space="preserve">: 10.3 </t>
    </r>
    <r>
      <rPr>
        <sz val="10"/>
        <rFont val="Noto Sans CJK SC"/>
        <family val="2"/>
      </rPr>
      <t xml:space="preserve">프로필 초기 설정</t>
    </r>
  </si>
  <si>
    <r>
      <rPr>
        <b val="true"/>
        <sz val="9"/>
        <color rgb="FFC00000"/>
        <rFont val="Noto Sans CJK SC"/>
        <family val="2"/>
      </rPr>
      <t xml:space="preserve">논의사항 </t>
    </r>
    <r>
      <rPr>
        <b val="true"/>
        <sz val="9"/>
        <color rgb="FFC00000"/>
        <rFont val="맑은 고딕"/>
        <family val="0"/>
        <charset val="1"/>
      </rPr>
      <t xml:space="preserve">12.
</t>
    </r>
    <r>
      <rPr>
        <b val="true"/>
        <sz val="9"/>
        <color rgb="FFC00000"/>
        <rFont val="Noto Sans CJK SC"/>
        <family val="2"/>
      </rPr>
      <t xml:space="preserve">와이어프레임에 이메일 입력란이 없음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이메일을 받지 않으면 비밀번호를 잃어버린 사용자를 복구할 방법이 전혀 없다</t>
    </r>
    <r>
      <rPr>
        <b val="true"/>
        <sz val="9"/>
        <color rgb="FFC00000"/>
        <rFont val="맑은 고딕"/>
        <family val="0"/>
        <charset val="1"/>
      </rPr>
      <t xml:space="preserve">.
</t>
    </r>
    <r>
      <rPr>
        <b val="true"/>
        <sz val="9"/>
        <color rgb="FFC00000"/>
        <rFont val="Noto Sans CJK SC"/>
        <family val="2"/>
      </rPr>
      <t xml:space="preserve">가입 시 이메일을 받을지 확정 필요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</si>
  <si>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t xml:space="preserve">입력 규칙 안내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</si>
  <si>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아이디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 형식 규칙을 화면에서 안내하고 실시간 검증</t>
    </r>
  </si>
  <si>
    <r>
      <rPr>
        <sz val="9"/>
        <color rgb="FF595959"/>
        <rFont val="Noto Sans CJK SC"/>
        <family val="2"/>
      </rPr>
      <t xml:space="preserve">비밀번호 정책 확정 필요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현재 안</t>
    </r>
    <r>
      <rPr>
        <sz val="9"/>
        <color rgb="FF595959"/>
        <rFont val="맑은 고딕"/>
        <family val="0"/>
        <charset val="1"/>
      </rPr>
      <t xml:space="preserve">: 8</t>
    </r>
    <r>
      <rPr>
        <sz val="9"/>
        <color rgb="FF595959"/>
        <rFont val="Noto Sans CJK SC"/>
        <family val="2"/>
      </rPr>
      <t xml:space="preserve">자 이상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영문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숫자 조합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</si>
  <si>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10.3 </t>
    </r>
    <r>
      <rPr>
        <b val="true"/>
        <sz val="10"/>
        <rFont val="Noto Sans CJK SC"/>
        <family val="2"/>
      </rPr>
      <t xml:space="preserve">프로필 초기 설정</t>
    </r>
  </si>
  <si>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약관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</si>
  <si>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닉네임 설정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최초 업로드 전 이용 약관에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동의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</si>
  <si>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: 0. </t>
    </r>
    <r>
      <rPr>
        <sz val="10"/>
        <rFont val="Noto Sans CJK SC"/>
        <family val="2"/>
      </rPr>
      <t xml:space="preserve">홈</t>
    </r>
  </si>
  <si>
    <t xml:space="preserve">약관 문안 확보 필요</t>
  </si>
  <si>
    <r>
      <rPr>
        <b val="true"/>
        <sz val="10"/>
        <rFont val="맑은 고딕"/>
        <family val="0"/>
        <charset val="1"/>
      </rPr>
      <t xml:space="preserve">10.4 </t>
    </r>
    <r>
      <rPr>
        <b val="true"/>
        <sz val="10"/>
        <rFont val="Noto Sans CJK SC"/>
        <family val="2"/>
      </rPr>
      <t xml:space="preserve">계정 복구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</si>
  <si>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탈퇴 후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이내 재로그인 시 복구 안내
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복구 시 게시물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방문 기록 유지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</si>
  <si>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복구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취소</t>
    </r>
    <r>
      <rPr>
        <sz val="10"/>
        <rFont val="맑은 고딕"/>
        <family val="0"/>
        <charset val="1"/>
      </rPr>
      <t xml:space="preserve">: 0. </t>
    </r>
    <r>
      <rPr>
        <sz val="10"/>
        <rFont val="Noto Sans CJK SC"/>
        <family val="2"/>
      </rPr>
      <t xml:space="preserve">홈</t>
    </r>
  </si>
  <si>
    <r>
      <rPr>
        <sz val="9"/>
        <color rgb="FF595959"/>
        <rFont val="Noto Sans CJK SC"/>
        <family val="2"/>
      </rPr>
      <t xml:space="preserve">이메일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닉네임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프로필 이미지는 이미 파기되어 복구되지 않음 → 안내 문구에 반드시 명시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</si>
</sst>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맑은 고딕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1F3864"/>
      <name val="맑은 고딕"/>
      <family val="0"/>
      <charset val="1"/>
    </font>
    <font>
      <sz val="10"/>
      <name val="Noto Sans CJK SC"/>
      <family val="2"/>
    </font>
    <font>
      <b val="true"/>
      <sz val="10"/>
      <color rgb="FF9C0006"/>
      <name val="맑은 고딕"/>
      <family val="0"/>
      <charset val="1"/>
    </font>
    <font>
      <b val="true"/>
      <sz val="10"/>
      <color rgb="FF9C0006"/>
      <name val="Noto Sans CJK SC"/>
      <family val="2"/>
    </font>
    <font>
      <b val="true"/>
      <sz val="9"/>
      <color rgb="FFC00000"/>
      <name val="맑은 고딕"/>
      <family val="0"/>
      <charset val="1"/>
    </font>
    <font>
      <b val="true"/>
      <sz val="9"/>
      <color rgb="FFC0000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375623"/>
      <name val="Noto Sans CJK SC"/>
      <family val="2"/>
    </font>
    <font>
      <b val="true"/>
      <sz val="10"/>
      <color rgb="FF1F3864"/>
      <name val="맑은 고딕"/>
      <family val="0"/>
      <charset val="1"/>
    </font>
    <font>
      <b val="true"/>
      <sz val="10"/>
      <color rgb="FF375623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4B6B6"/>
        <bgColor rgb="FFFF99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D9D9D9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FE699"/>
      <rgbColor rgb="FFFAFAFA"/>
      <rgbColor rgb="FFFF99CC"/>
      <rgbColor rgb="FFCC99FF"/>
      <rgbColor rgb="FFF4B6B6"/>
      <rgbColor rgb="FF4472C4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s">
        <v>5</v>
      </c>
      <c r="C4" s="4" t="s">
        <v>6</v>
      </c>
    </row>
    <row r="5" customFormat="false" ht="15" hidden="false" customHeight="false" outlineLevel="0" collapsed="false">
      <c r="A5" s="4"/>
      <c r="B5" s="4" t="s">
        <v>7</v>
      </c>
      <c r="C5" s="4" t="s">
        <v>8</v>
      </c>
    </row>
    <row r="6" customFormat="false" ht="15" hidden="false" customHeight="false" outlineLevel="0" collapsed="false">
      <c r="A6" s="3" t="s">
        <v>9</v>
      </c>
      <c r="B6" s="5" t="s">
        <v>10</v>
      </c>
      <c r="C6" s="4" t="s">
        <v>11</v>
      </c>
    </row>
    <row r="7" customFormat="false" ht="15" hidden="false" customHeight="false" outlineLevel="0" collapsed="false">
      <c r="A7" s="4"/>
      <c r="B7" s="5" t="s">
        <v>12</v>
      </c>
      <c r="C7" s="4" t="s">
        <v>13</v>
      </c>
    </row>
    <row r="8" customFormat="false" ht="15" hidden="false" customHeight="false" outlineLevel="0" collapsed="false">
      <c r="A8" s="4"/>
      <c r="B8" s="5" t="s">
        <v>14</v>
      </c>
      <c r="C8" s="4" t="s">
        <v>15</v>
      </c>
    </row>
    <row r="9" customFormat="false" ht="15" hidden="false" customHeight="false" outlineLevel="0" collapsed="false">
      <c r="A9" s="4"/>
      <c r="B9" s="5" t="s">
        <v>16</v>
      </c>
      <c r="C9" s="4" t="s">
        <v>17</v>
      </c>
    </row>
    <row r="10" customFormat="false" ht="15" hidden="false" customHeight="false" outlineLevel="0" collapsed="false">
      <c r="A10" s="3" t="s">
        <v>18</v>
      </c>
      <c r="B10" s="4" t="s">
        <v>19</v>
      </c>
      <c r="C10" s="4" t="s">
        <v>20</v>
      </c>
    </row>
    <row r="11" customFormat="false" ht="15" hidden="false" customHeight="false" outlineLevel="0" collapsed="false">
      <c r="A11" s="4"/>
      <c r="B11" s="4" t="s">
        <v>21</v>
      </c>
      <c r="C11" s="4" t="s">
        <v>22</v>
      </c>
    </row>
    <row r="12" customFormat="false" ht="15" hidden="false" customHeight="false" outlineLevel="0" collapsed="false">
      <c r="A12" s="4"/>
      <c r="B12" s="4" t="s">
        <v>23</v>
      </c>
      <c r="C12" s="4" t="s">
        <v>24</v>
      </c>
    </row>
    <row r="13" customFormat="false" ht="15" hidden="false" customHeight="false" outlineLevel="0" collapsed="false">
      <c r="A13" s="4"/>
      <c r="B13" s="4" t="s">
        <v>25</v>
      </c>
      <c r="C13" s="4" t="s">
        <v>26</v>
      </c>
    </row>
    <row r="14" customFormat="false" ht="15" hidden="false" customHeight="false" outlineLevel="0" collapsed="false">
      <c r="A14" s="4"/>
      <c r="B14" s="4" t="s">
        <v>27</v>
      </c>
      <c r="C14" s="4" t="s">
        <v>28</v>
      </c>
    </row>
    <row r="15" customFormat="false" ht="15" hidden="false" customHeight="false" outlineLevel="0" collapsed="false">
      <c r="A15" s="3" t="s">
        <v>29</v>
      </c>
      <c r="B15" s="5" t="s">
        <v>30</v>
      </c>
      <c r="C15" s="4" t="s">
        <v>31</v>
      </c>
    </row>
    <row r="16" customFormat="false" ht="15" hidden="false" customHeight="false" outlineLevel="0" collapsed="false">
      <c r="A16" s="4"/>
      <c r="B16" s="5" t="s">
        <v>32</v>
      </c>
      <c r="C16" s="4" t="s">
        <v>33</v>
      </c>
    </row>
    <row r="17" customFormat="false" ht="15" hidden="false" customHeight="false" outlineLevel="0" collapsed="false">
      <c r="A17" s="4"/>
      <c r="B17" s="5" t="s">
        <v>34</v>
      </c>
      <c r="C17" s="4" t="s">
        <v>35</v>
      </c>
    </row>
    <row r="18" customFormat="false" ht="15" hidden="false" customHeight="false" outlineLevel="0" collapsed="false">
      <c r="A18" s="3" t="s">
        <v>36</v>
      </c>
      <c r="B18" s="4" t="s">
        <v>37</v>
      </c>
      <c r="C18" s="4" t="s">
        <v>38</v>
      </c>
    </row>
    <row r="19" customFormat="false" ht="15" hidden="false" customHeight="false" outlineLevel="0" collapsed="false">
      <c r="A19" s="3" t="s">
        <v>39</v>
      </c>
      <c r="B19" s="4" t="s">
        <v>40</v>
      </c>
      <c r="C19" s="4" t="s">
        <v>41</v>
      </c>
    </row>
    <row r="20" customFormat="false" ht="15" hidden="false" customHeight="false" outlineLevel="0" collapsed="false">
      <c r="A20" s="4"/>
      <c r="B20" s="4" t="s">
        <v>42</v>
      </c>
      <c r="C20" s="4" t="s">
        <v>43</v>
      </c>
    </row>
    <row r="21" customFormat="false" ht="15" hidden="false" customHeight="false" outlineLevel="0" collapsed="false">
      <c r="A21" s="4"/>
      <c r="B21" s="4" t="s">
        <v>44</v>
      </c>
      <c r="C21" s="4" t="s">
        <v>45</v>
      </c>
    </row>
    <row r="22" customFormat="false" ht="15" hidden="false" customHeight="false" outlineLevel="0" collapsed="false">
      <c r="A22" s="3" t="s">
        <v>46</v>
      </c>
      <c r="B22" s="4" t="s">
        <v>47</v>
      </c>
      <c r="C22" s="5" t="s">
        <v>48</v>
      </c>
    </row>
    <row r="23" customFormat="false" ht="15" hidden="false" customHeight="false" outlineLevel="0" collapsed="false">
      <c r="A23" s="4"/>
      <c r="B23" s="4" t="s">
        <v>49</v>
      </c>
      <c r="C23" s="5" t="s">
        <v>50</v>
      </c>
    </row>
    <row r="24" customFormat="false" ht="15" hidden="false" customHeight="false" outlineLevel="0" collapsed="false">
      <c r="A24" s="4"/>
      <c r="B24" s="4" t="s">
        <v>51</v>
      </c>
      <c r="C24" s="5" t="s">
        <v>52</v>
      </c>
    </row>
    <row r="25" customFormat="false" ht="15" hidden="false" customHeight="false" outlineLevel="0" collapsed="false">
      <c r="A25" s="4"/>
      <c r="B25" s="4" t="s">
        <v>53</v>
      </c>
      <c r="C25" s="4" t="s">
        <v>54</v>
      </c>
    </row>
    <row r="27" customFormat="false" ht="15" hidden="false" customHeight="false" outlineLevel="0" collapsed="false">
      <c r="A27" s="2" t="s">
        <v>55</v>
      </c>
      <c r="B27" s="2"/>
      <c r="C27" s="2"/>
    </row>
    <row r="28" customFormat="false" ht="15" hidden="false" customHeight="false" outlineLevel="0" collapsed="false">
      <c r="A28" s="6" t="s">
        <v>56</v>
      </c>
      <c r="B28" s="7" t="n">
        <f aca="false">COUNTA('요구사항 명세서'!B3:B203)</f>
        <v>201</v>
      </c>
    </row>
    <row r="29" customFormat="false" ht="15" hidden="false" customHeight="false" outlineLevel="0" collapsed="false">
      <c r="A29" s="8" t="s">
        <v>57</v>
      </c>
      <c r="B29" s="7" t="n">
        <f aca="false">COUNTIF('요구사항 명세서'!H3:H203,"Must")</f>
        <v>112</v>
      </c>
    </row>
    <row r="30" customFormat="false" ht="15" hidden="false" customHeight="false" outlineLevel="0" collapsed="false">
      <c r="A30" s="8" t="s">
        <v>58</v>
      </c>
      <c r="B30" s="7" t="n">
        <f aca="false">COUNTIF('요구사항 명세서'!H3:H203,"Should")</f>
        <v>71</v>
      </c>
    </row>
    <row r="31" customFormat="false" ht="15" hidden="false" customHeight="false" outlineLevel="0" collapsed="false">
      <c r="A31" s="8" t="s">
        <v>59</v>
      </c>
      <c r="B31" s="7" t="n">
        <f aca="false">COUNTIF('요구사항 명세서'!H3:H203,"Could")</f>
        <v>18</v>
      </c>
    </row>
    <row r="32" customFormat="false" ht="15" hidden="false" customHeight="false" outlineLevel="0" collapsed="false">
      <c r="A32" s="6" t="s">
        <v>60</v>
      </c>
      <c r="B32" s="7" t="n">
        <f aca="false">COUNTIF('요구사항 명세서'!I3:I203,"상")</f>
        <v>35</v>
      </c>
    </row>
    <row r="33" customFormat="false" ht="15" hidden="false" customHeight="false" outlineLevel="0" collapsed="false">
      <c r="A33" s="6" t="s">
        <v>61</v>
      </c>
      <c r="B33" s="7" t="n">
        <f aca="false">COUNTA('기능 명세서'!C2:C74)</f>
        <v>73</v>
      </c>
    </row>
    <row r="34" customFormat="false" ht="15" hidden="false" customHeight="false" outlineLevel="0" collapsed="false">
      <c r="A34" s="6" t="s">
        <v>62</v>
      </c>
      <c r="B34" s="7" t="n">
        <f aca="false">COUNTIF('요구사항 명세서'!J3:J203,"[신규]*")</f>
        <v>46</v>
      </c>
    </row>
    <row r="35" customFormat="false" ht="15" hidden="false" customHeight="false" outlineLevel="0" collapsed="false">
      <c r="A35" s="6" t="s">
        <v>63</v>
      </c>
      <c r="B35" s="7" t="n">
        <f aca="false">COUNTIF('요구사항 명세서'!J3:J203,"[수정]*")</f>
        <v>10</v>
      </c>
    </row>
    <row r="36" customFormat="false" ht="15" hidden="false" customHeight="false" outlineLevel="0" collapsed="false">
      <c r="A36" s="6" t="s">
        <v>64</v>
      </c>
      <c r="B36" s="7" t="n">
        <f aca="false">COUNTIF('요구사항 명세서'!J3:J203,"[확정]*")</f>
        <v>3</v>
      </c>
    </row>
    <row r="38" customFormat="false" ht="26.85" hidden="false" customHeight="false" outlineLevel="0" collapsed="false">
      <c r="A38" s="9" t="s">
        <v>65</v>
      </c>
      <c r="B38" s="9"/>
      <c r="C38" s="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7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46"/>
  </cols>
  <sheetData>
    <row r="1" customFormat="false" ht="19.5" hidden="false" customHeight="true" outlineLevel="0" collapsed="false">
      <c r="B1" s="10" t="s">
        <v>67</v>
      </c>
      <c r="C1" s="11" t="s">
        <v>68</v>
      </c>
      <c r="D1" s="11"/>
      <c r="E1" s="11"/>
      <c r="F1" s="11" t="s">
        <v>69</v>
      </c>
      <c r="G1" s="11" t="s">
        <v>18</v>
      </c>
      <c r="H1" s="11" t="s">
        <v>29</v>
      </c>
      <c r="I1" s="11" t="s">
        <v>36</v>
      </c>
      <c r="J1" s="11" t="s">
        <v>70</v>
      </c>
    </row>
    <row r="2" customFormat="false" ht="21.75" hidden="false" customHeight="true" outlineLevel="0" collapsed="false">
      <c r="B2" s="10"/>
      <c r="C2" s="10" t="s">
        <v>71</v>
      </c>
      <c r="D2" s="10" t="s">
        <v>72</v>
      </c>
      <c r="E2" s="10" t="s">
        <v>73</v>
      </c>
      <c r="F2" s="11"/>
      <c r="G2" s="11"/>
      <c r="H2" s="11"/>
      <c r="I2" s="11"/>
      <c r="J2" s="11"/>
    </row>
    <row r="3" customFormat="false" ht="26.85" hidden="false" customHeight="true" outlineLevel="0" collapsed="false">
      <c r="B3" s="12" t="s">
        <v>74</v>
      </c>
      <c r="C3" s="13" t="s">
        <v>75</v>
      </c>
      <c r="D3" s="14" t="s">
        <v>76</v>
      </c>
      <c r="E3" s="15" t="s">
        <v>77</v>
      </c>
      <c r="F3" s="15" t="s">
        <v>78</v>
      </c>
      <c r="G3" s="15" t="s">
        <v>19</v>
      </c>
      <c r="H3" s="16" t="s">
        <v>30</v>
      </c>
      <c r="I3" s="17" t="s">
        <v>79</v>
      </c>
      <c r="J3" s="18" t="s">
        <v>80</v>
      </c>
    </row>
    <row r="4" customFormat="false" ht="15" hidden="false" customHeight="false" outlineLevel="0" collapsed="false">
      <c r="B4" s="19" t="s">
        <v>81</v>
      </c>
      <c r="C4" s="13"/>
      <c r="D4" s="14"/>
      <c r="E4" s="15" t="s">
        <v>82</v>
      </c>
      <c r="F4" s="15" t="s">
        <v>83</v>
      </c>
      <c r="G4" s="15" t="s">
        <v>21</v>
      </c>
      <c r="H4" s="16" t="s">
        <v>30</v>
      </c>
      <c r="I4" s="20" t="s">
        <v>84</v>
      </c>
      <c r="J4" s="21" t="s">
        <v>85</v>
      </c>
    </row>
    <row r="5" customFormat="false" ht="26.85" hidden="false" customHeight="false" outlineLevel="0" collapsed="false">
      <c r="B5" s="19" t="s">
        <v>86</v>
      </c>
      <c r="C5" s="13"/>
      <c r="D5" s="14"/>
      <c r="E5" s="22" t="s">
        <v>87</v>
      </c>
      <c r="F5" s="15" t="s">
        <v>88</v>
      </c>
      <c r="G5" s="15" t="s">
        <v>27</v>
      </c>
      <c r="H5" s="16" t="s">
        <v>30</v>
      </c>
      <c r="I5" s="17" t="s">
        <v>79</v>
      </c>
      <c r="J5" s="21" t="s">
        <v>89</v>
      </c>
    </row>
    <row r="6" customFormat="false" ht="15" hidden="false" customHeight="true" outlineLevel="0" collapsed="false">
      <c r="B6" s="19" t="s">
        <v>90</v>
      </c>
      <c r="C6" s="13"/>
      <c r="D6" s="14" t="s">
        <v>91</v>
      </c>
      <c r="E6" s="15" t="s">
        <v>92</v>
      </c>
      <c r="F6" s="15" t="s">
        <v>93</v>
      </c>
      <c r="G6" s="15" t="s">
        <v>19</v>
      </c>
      <c r="H6" s="16" t="s">
        <v>30</v>
      </c>
      <c r="I6" s="23" t="s">
        <v>94</v>
      </c>
      <c r="J6" s="21" t="s">
        <v>95</v>
      </c>
    </row>
    <row r="7" customFormat="false" ht="15" hidden="false" customHeight="false" outlineLevel="0" collapsed="false">
      <c r="B7" s="19" t="s">
        <v>96</v>
      </c>
      <c r="C7" s="13"/>
      <c r="D7" s="14"/>
      <c r="E7" s="15" t="s">
        <v>97</v>
      </c>
      <c r="F7" s="15" t="s">
        <v>98</v>
      </c>
      <c r="G7" s="15" t="s">
        <v>19</v>
      </c>
      <c r="H7" s="24" t="s">
        <v>32</v>
      </c>
      <c r="I7" s="20" t="s">
        <v>84</v>
      </c>
      <c r="J7" s="21" t="s">
        <v>95</v>
      </c>
    </row>
    <row r="8" customFormat="false" ht="15" hidden="false" customHeight="false" outlineLevel="0" collapsed="false">
      <c r="B8" s="19" t="s">
        <v>99</v>
      </c>
      <c r="C8" s="13"/>
      <c r="D8" s="14"/>
      <c r="E8" s="15" t="s">
        <v>100</v>
      </c>
      <c r="F8" s="15" t="s">
        <v>101</v>
      </c>
      <c r="G8" s="15" t="s">
        <v>19</v>
      </c>
      <c r="H8" s="16" t="s">
        <v>30</v>
      </c>
      <c r="I8" s="20" t="s">
        <v>84</v>
      </c>
      <c r="J8" s="21" t="s">
        <v>102</v>
      </c>
    </row>
    <row r="9" customFormat="false" ht="15" hidden="false" customHeight="false" outlineLevel="0" collapsed="false">
      <c r="B9" s="19" t="s">
        <v>103</v>
      </c>
      <c r="C9" s="13"/>
      <c r="D9" s="14"/>
      <c r="E9" s="15" t="s">
        <v>104</v>
      </c>
      <c r="F9" s="15" t="s">
        <v>105</v>
      </c>
      <c r="G9" s="15" t="s">
        <v>27</v>
      </c>
      <c r="H9" s="16" t="s">
        <v>30</v>
      </c>
      <c r="I9" s="17" t="s">
        <v>79</v>
      </c>
      <c r="J9" s="25" t="s">
        <v>106</v>
      </c>
    </row>
    <row r="10" customFormat="false" ht="15" hidden="false" customHeight="false" outlineLevel="0" collapsed="false">
      <c r="B10" s="19" t="s">
        <v>107</v>
      </c>
      <c r="C10" s="13"/>
      <c r="D10" s="14"/>
      <c r="E10" s="15" t="s">
        <v>108</v>
      </c>
      <c r="F10" s="15" t="s">
        <v>109</v>
      </c>
      <c r="G10" s="15" t="s">
        <v>27</v>
      </c>
      <c r="H10" s="24" t="s">
        <v>32</v>
      </c>
      <c r="I10" s="20" t="s">
        <v>84</v>
      </c>
      <c r="J10" s="21" t="s">
        <v>110</v>
      </c>
    </row>
    <row r="11" customFormat="false" ht="15" hidden="false" customHeight="true" outlineLevel="0" collapsed="false">
      <c r="B11" s="19" t="s">
        <v>111</v>
      </c>
      <c r="C11" s="13"/>
      <c r="D11" s="14" t="s">
        <v>112</v>
      </c>
      <c r="E11" s="15" t="s">
        <v>113</v>
      </c>
      <c r="F11" s="15" t="s">
        <v>114</v>
      </c>
      <c r="G11" s="15" t="s">
        <v>21</v>
      </c>
      <c r="H11" s="16" t="s">
        <v>30</v>
      </c>
      <c r="I11" s="20" t="s">
        <v>84</v>
      </c>
      <c r="J11" s="25" t="s">
        <v>115</v>
      </c>
    </row>
    <row r="12" customFormat="false" ht="15" hidden="false" customHeight="false" outlineLevel="0" collapsed="false">
      <c r="B12" s="19" t="s">
        <v>116</v>
      </c>
      <c r="C12" s="13"/>
      <c r="D12" s="14"/>
      <c r="E12" s="15" t="s">
        <v>117</v>
      </c>
      <c r="F12" s="15" t="s">
        <v>118</v>
      </c>
      <c r="G12" s="15" t="s">
        <v>19</v>
      </c>
      <c r="H12" s="16" t="s">
        <v>30</v>
      </c>
      <c r="I12" s="23" t="s">
        <v>94</v>
      </c>
      <c r="J12" s="25" t="s">
        <v>119</v>
      </c>
    </row>
    <row r="13" customFormat="false" ht="15" hidden="false" customHeight="false" outlineLevel="0" collapsed="false">
      <c r="B13" s="19" t="s">
        <v>120</v>
      </c>
      <c r="C13" s="13"/>
      <c r="D13" s="14"/>
      <c r="E13" s="15" t="s">
        <v>121</v>
      </c>
      <c r="F13" s="15" t="s">
        <v>122</v>
      </c>
      <c r="G13" s="15" t="s">
        <v>25</v>
      </c>
      <c r="H13" s="16" t="s">
        <v>30</v>
      </c>
      <c r="I13" s="23" t="s">
        <v>94</v>
      </c>
      <c r="J13" s="25" t="s">
        <v>123</v>
      </c>
    </row>
    <row r="14" customFormat="false" ht="26.85" hidden="false" customHeight="true" outlineLevel="0" collapsed="false">
      <c r="B14" s="26" t="s">
        <v>124</v>
      </c>
      <c r="C14" s="13"/>
      <c r="D14" s="14" t="s">
        <v>125</v>
      </c>
      <c r="E14" s="27" t="s">
        <v>126</v>
      </c>
      <c r="F14" s="15" t="s">
        <v>127</v>
      </c>
      <c r="G14" s="15" t="s">
        <v>21</v>
      </c>
      <c r="H14" s="16" t="s">
        <v>30</v>
      </c>
      <c r="I14" s="20" t="s">
        <v>84</v>
      </c>
      <c r="J14" s="18" t="s">
        <v>128</v>
      </c>
    </row>
    <row r="15" customFormat="false" ht="26.85" hidden="false" customHeight="false" outlineLevel="0" collapsed="false">
      <c r="B15" s="26" t="s">
        <v>129</v>
      </c>
      <c r="C15" s="13"/>
      <c r="D15" s="14"/>
      <c r="E15" s="27" t="s">
        <v>130</v>
      </c>
      <c r="F15" s="15" t="s">
        <v>131</v>
      </c>
      <c r="G15" s="15" t="s">
        <v>21</v>
      </c>
      <c r="H15" s="16" t="s">
        <v>30</v>
      </c>
      <c r="I15" s="23" t="s">
        <v>94</v>
      </c>
      <c r="J15" s="18" t="s">
        <v>132</v>
      </c>
    </row>
    <row r="16" customFormat="false" ht="26.85" hidden="false" customHeight="false" outlineLevel="0" collapsed="false">
      <c r="B16" s="26" t="s">
        <v>133</v>
      </c>
      <c r="C16" s="13"/>
      <c r="D16" s="14"/>
      <c r="E16" s="27" t="s">
        <v>134</v>
      </c>
      <c r="F16" s="15" t="s">
        <v>135</v>
      </c>
      <c r="G16" s="15" t="s">
        <v>21</v>
      </c>
      <c r="H16" s="16" t="s">
        <v>30</v>
      </c>
      <c r="I16" s="23" t="s">
        <v>94</v>
      </c>
      <c r="J16" s="18" t="s">
        <v>136</v>
      </c>
    </row>
    <row r="17" customFormat="false" ht="26.85" hidden="false" customHeight="false" outlineLevel="0" collapsed="false">
      <c r="B17" s="26" t="s">
        <v>137</v>
      </c>
      <c r="C17" s="13"/>
      <c r="D17" s="14"/>
      <c r="E17" s="27" t="s">
        <v>138</v>
      </c>
      <c r="F17" s="15" t="s">
        <v>139</v>
      </c>
      <c r="G17" s="15" t="s">
        <v>21</v>
      </c>
      <c r="H17" s="16" t="s">
        <v>30</v>
      </c>
      <c r="I17" s="20" t="s">
        <v>84</v>
      </c>
      <c r="J17" s="18" t="s">
        <v>140</v>
      </c>
    </row>
    <row r="18" customFormat="false" ht="26.85" hidden="false" customHeight="false" outlineLevel="0" collapsed="false">
      <c r="B18" s="26" t="s">
        <v>141</v>
      </c>
      <c r="C18" s="13"/>
      <c r="D18" s="14"/>
      <c r="E18" s="27" t="s">
        <v>142</v>
      </c>
      <c r="F18" s="15" t="s">
        <v>143</v>
      </c>
      <c r="G18" s="15" t="s">
        <v>27</v>
      </c>
      <c r="H18" s="24" t="s">
        <v>32</v>
      </c>
      <c r="I18" s="20" t="s">
        <v>84</v>
      </c>
      <c r="J18" s="18" t="s">
        <v>144</v>
      </c>
    </row>
    <row r="19" customFormat="false" ht="26.85" hidden="false" customHeight="false" outlineLevel="0" collapsed="false">
      <c r="B19" s="26" t="s">
        <v>145</v>
      </c>
      <c r="C19" s="13"/>
      <c r="D19" s="14"/>
      <c r="E19" s="27" t="s">
        <v>146</v>
      </c>
      <c r="F19" s="15" t="s">
        <v>147</v>
      </c>
      <c r="G19" s="15" t="s">
        <v>19</v>
      </c>
      <c r="H19" s="24" t="s">
        <v>32</v>
      </c>
      <c r="I19" s="23" t="s">
        <v>94</v>
      </c>
      <c r="J19" s="18" t="s">
        <v>148</v>
      </c>
    </row>
    <row r="20" customFormat="false" ht="39.55" hidden="false" customHeight="false" outlineLevel="0" collapsed="false">
      <c r="B20" s="26" t="s">
        <v>149</v>
      </c>
      <c r="C20" s="13"/>
      <c r="D20" s="14"/>
      <c r="E20" s="27" t="s">
        <v>150</v>
      </c>
      <c r="F20" s="15" t="s">
        <v>151</v>
      </c>
      <c r="G20" s="15" t="s">
        <v>21</v>
      </c>
      <c r="H20" s="28" t="s">
        <v>34</v>
      </c>
      <c r="I20" s="17" t="s">
        <v>79</v>
      </c>
      <c r="J20" s="18" t="s">
        <v>152</v>
      </c>
    </row>
    <row r="21" customFormat="false" ht="15" hidden="false" customHeight="true" outlineLevel="0" collapsed="false">
      <c r="B21" s="19" t="s">
        <v>153</v>
      </c>
      <c r="C21" s="13" t="s">
        <v>154</v>
      </c>
      <c r="D21" s="14" t="s">
        <v>155</v>
      </c>
      <c r="E21" s="15" t="s">
        <v>156</v>
      </c>
      <c r="F21" s="15" t="s">
        <v>157</v>
      </c>
      <c r="G21" s="15" t="s">
        <v>19</v>
      </c>
      <c r="H21" s="16" t="s">
        <v>30</v>
      </c>
      <c r="I21" s="23" t="s">
        <v>94</v>
      </c>
      <c r="J21" s="21" t="s">
        <v>158</v>
      </c>
    </row>
    <row r="22" customFormat="false" ht="15" hidden="false" customHeight="false" outlineLevel="0" collapsed="false">
      <c r="B22" s="19" t="s">
        <v>159</v>
      </c>
      <c r="C22" s="13"/>
      <c r="D22" s="14"/>
      <c r="E22" s="15" t="s">
        <v>160</v>
      </c>
      <c r="F22" s="15" t="s">
        <v>161</v>
      </c>
      <c r="G22" s="15" t="s">
        <v>19</v>
      </c>
      <c r="H22" s="16" t="s">
        <v>30</v>
      </c>
      <c r="I22" s="23" t="s">
        <v>94</v>
      </c>
      <c r="J22" s="21" t="s">
        <v>158</v>
      </c>
    </row>
    <row r="23" customFormat="false" ht="15" hidden="false" customHeight="false" outlineLevel="0" collapsed="false">
      <c r="B23" s="19" t="s">
        <v>162</v>
      </c>
      <c r="C23" s="13"/>
      <c r="D23" s="14"/>
      <c r="E23" s="15" t="s">
        <v>163</v>
      </c>
      <c r="F23" s="15" t="s">
        <v>164</v>
      </c>
      <c r="G23" s="15" t="s">
        <v>165</v>
      </c>
      <c r="H23" s="16" t="s">
        <v>30</v>
      </c>
      <c r="I23" s="23" t="s">
        <v>94</v>
      </c>
      <c r="J23" s="25" t="s">
        <v>166</v>
      </c>
    </row>
    <row r="24" customFormat="false" ht="15" hidden="false" customHeight="false" outlineLevel="0" collapsed="false">
      <c r="B24" s="19" t="s">
        <v>167</v>
      </c>
      <c r="C24" s="13"/>
      <c r="D24" s="14"/>
      <c r="E24" s="15" t="s">
        <v>168</v>
      </c>
      <c r="F24" s="15" t="s">
        <v>169</v>
      </c>
      <c r="G24" s="15" t="s">
        <v>19</v>
      </c>
      <c r="H24" s="24" t="s">
        <v>32</v>
      </c>
      <c r="I24" s="20" t="s">
        <v>84</v>
      </c>
      <c r="J24" s="25" t="s">
        <v>170</v>
      </c>
    </row>
    <row r="25" customFormat="false" ht="15" hidden="false" customHeight="false" outlineLevel="0" collapsed="false">
      <c r="B25" s="19" t="s">
        <v>171</v>
      </c>
      <c r="C25" s="13"/>
      <c r="D25" s="14" t="s">
        <v>172</v>
      </c>
      <c r="E25" s="15" t="s">
        <v>173</v>
      </c>
      <c r="F25" s="15" t="s">
        <v>174</v>
      </c>
      <c r="G25" s="15" t="s">
        <v>19</v>
      </c>
      <c r="H25" s="16" t="s">
        <v>30</v>
      </c>
      <c r="I25" s="23" t="s">
        <v>94</v>
      </c>
      <c r="J25" s="25" t="s">
        <v>175</v>
      </c>
    </row>
    <row r="26" customFormat="false" ht="26.85" hidden="false" customHeight="false" outlineLevel="0" collapsed="false">
      <c r="B26" s="19" t="s">
        <v>176</v>
      </c>
      <c r="C26" s="13"/>
      <c r="D26" s="14" t="s">
        <v>177</v>
      </c>
      <c r="E26" s="22" t="s">
        <v>178</v>
      </c>
      <c r="F26" s="15" t="s">
        <v>179</v>
      </c>
      <c r="G26" s="15" t="s">
        <v>19</v>
      </c>
      <c r="H26" s="16" t="s">
        <v>30</v>
      </c>
      <c r="I26" s="20" t="s">
        <v>84</v>
      </c>
      <c r="J26" s="25" t="s">
        <v>180</v>
      </c>
    </row>
    <row r="27" customFormat="false" ht="15" hidden="false" customHeight="true" outlineLevel="0" collapsed="false">
      <c r="B27" s="19" t="s">
        <v>181</v>
      </c>
      <c r="C27" s="13"/>
      <c r="D27" s="14" t="s">
        <v>182</v>
      </c>
      <c r="E27" s="15" t="s">
        <v>183</v>
      </c>
      <c r="F27" s="15" t="s">
        <v>184</v>
      </c>
      <c r="G27" s="15" t="s">
        <v>19</v>
      </c>
      <c r="H27" s="24" t="s">
        <v>32</v>
      </c>
      <c r="I27" s="20" t="s">
        <v>84</v>
      </c>
      <c r="J27" s="21" t="s">
        <v>185</v>
      </c>
    </row>
    <row r="28" customFormat="false" ht="15" hidden="false" customHeight="false" outlineLevel="0" collapsed="false">
      <c r="B28" s="19" t="s">
        <v>186</v>
      </c>
      <c r="C28" s="13"/>
      <c r="D28" s="14"/>
      <c r="E28" s="15" t="s">
        <v>187</v>
      </c>
      <c r="F28" s="15" t="s">
        <v>188</v>
      </c>
      <c r="G28" s="15" t="s">
        <v>19</v>
      </c>
      <c r="H28" s="16" t="s">
        <v>30</v>
      </c>
      <c r="I28" s="17" t="s">
        <v>79</v>
      </c>
      <c r="J28" s="25" t="s">
        <v>189</v>
      </c>
    </row>
    <row r="29" customFormat="false" ht="15" hidden="false" customHeight="false" outlineLevel="0" collapsed="false">
      <c r="B29" s="19" t="s">
        <v>190</v>
      </c>
      <c r="C29" s="13"/>
      <c r="D29" s="14"/>
      <c r="E29" s="15" t="s">
        <v>191</v>
      </c>
      <c r="F29" s="15" t="s">
        <v>192</v>
      </c>
      <c r="G29" s="15" t="s">
        <v>19</v>
      </c>
      <c r="H29" s="24" t="s">
        <v>32</v>
      </c>
      <c r="I29" s="20" t="s">
        <v>84</v>
      </c>
      <c r="J29" s="21" t="s">
        <v>193</v>
      </c>
    </row>
    <row r="30" customFormat="false" ht="15" hidden="false" customHeight="false" outlineLevel="0" collapsed="false">
      <c r="B30" s="19" t="s">
        <v>194</v>
      </c>
      <c r="C30" s="13"/>
      <c r="D30" s="14"/>
      <c r="E30" s="15" t="s">
        <v>195</v>
      </c>
      <c r="F30" s="15" t="s">
        <v>196</v>
      </c>
      <c r="G30" s="15" t="s">
        <v>27</v>
      </c>
      <c r="H30" s="16" t="s">
        <v>30</v>
      </c>
      <c r="I30" s="20" t="s">
        <v>84</v>
      </c>
      <c r="J30" s="25" t="s">
        <v>197</v>
      </c>
    </row>
    <row r="31" customFormat="false" ht="15" hidden="false" customHeight="false" outlineLevel="0" collapsed="false">
      <c r="B31" s="19" t="s">
        <v>198</v>
      </c>
      <c r="C31" s="13"/>
      <c r="D31" s="14"/>
      <c r="E31" s="15" t="s">
        <v>199</v>
      </c>
      <c r="F31" s="15" t="s">
        <v>200</v>
      </c>
      <c r="G31" s="15" t="s">
        <v>27</v>
      </c>
      <c r="H31" s="16" t="s">
        <v>30</v>
      </c>
      <c r="I31" s="17" t="s">
        <v>79</v>
      </c>
      <c r="J31" s="25" t="s">
        <v>201</v>
      </c>
    </row>
    <row r="32" customFormat="false" ht="15" hidden="false" customHeight="false" outlineLevel="0" collapsed="false">
      <c r="B32" s="19" t="s">
        <v>202</v>
      </c>
      <c r="C32" s="13"/>
      <c r="D32" s="14"/>
      <c r="E32" s="15" t="s">
        <v>203</v>
      </c>
      <c r="F32" s="22" t="s">
        <v>204</v>
      </c>
      <c r="G32" s="15" t="s">
        <v>19</v>
      </c>
      <c r="H32" s="24" t="s">
        <v>32</v>
      </c>
      <c r="I32" s="20" t="s">
        <v>84</v>
      </c>
      <c r="J32" s="25" t="s">
        <v>205</v>
      </c>
    </row>
    <row r="33" customFormat="false" ht="15" hidden="false" customHeight="false" outlineLevel="0" collapsed="false">
      <c r="B33" s="19" t="s">
        <v>206</v>
      </c>
      <c r="C33" s="13"/>
      <c r="D33" s="14"/>
      <c r="E33" s="15" t="s">
        <v>207</v>
      </c>
      <c r="F33" s="15" t="s">
        <v>208</v>
      </c>
      <c r="G33" s="15" t="s">
        <v>25</v>
      </c>
      <c r="H33" s="28" t="s">
        <v>34</v>
      </c>
      <c r="I33" s="20" t="s">
        <v>84</v>
      </c>
      <c r="J33" s="25" t="s">
        <v>209</v>
      </c>
    </row>
    <row r="34" customFormat="false" ht="15" hidden="false" customHeight="false" outlineLevel="0" collapsed="false">
      <c r="B34" s="19" t="s">
        <v>210</v>
      </c>
      <c r="C34" s="13"/>
      <c r="D34" s="14" t="s">
        <v>211</v>
      </c>
      <c r="E34" s="15" t="s">
        <v>212</v>
      </c>
      <c r="F34" s="15" t="s">
        <v>213</v>
      </c>
      <c r="G34" s="15" t="s">
        <v>19</v>
      </c>
      <c r="H34" s="24" t="s">
        <v>32</v>
      </c>
      <c r="I34" s="23" t="s">
        <v>94</v>
      </c>
      <c r="J34" s="21" t="s">
        <v>214</v>
      </c>
    </row>
    <row r="35" customFormat="false" ht="26.85" hidden="false" customHeight="true" outlineLevel="0" collapsed="false">
      <c r="B35" s="26" t="s">
        <v>215</v>
      </c>
      <c r="C35" s="13"/>
      <c r="D35" s="14" t="s">
        <v>216</v>
      </c>
      <c r="E35" s="27" t="s">
        <v>217</v>
      </c>
      <c r="F35" s="15" t="s">
        <v>218</v>
      </c>
      <c r="G35" s="15" t="s">
        <v>27</v>
      </c>
      <c r="H35" s="24" t="s">
        <v>32</v>
      </c>
      <c r="I35" s="17" t="s">
        <v>79</v>
      </c>
      <c r="J35" s="18" t="s">
        <v>219</v>
      </c>
    </row>
    <row r="36" customFormat="false" ht="26.85" hidden="false" customHeight="false" outlineLevel="0" collapsed="false">
      <c r="B36" s="26" t="s">
        <v>220</v>
      </c>
      <c r="C36" s="13"/>
      <c r="D36" s="14"/>
      <c r="E36" s="27" t="s">
        <v>221</v>
      </c>
      <c r="F36" s="15" t="s">
        <v>222</v>
      </c>
      <c r="G36" s="15" t="s">
        <v>165</v>
      </c>
      <c r="H36" s="24" t="s">
        <v>32</v>
      </c>
      <c r="I36" s="20" t="s">
        <v>84</v>
      </c>
      <c r="J36" s="18" t="s">
        <v>223</v>
      </c>
    </row>
    <row r="37" customFormat="false" ht="15" hidden="false" customHeight="false" outlineLevel="0" collapsed="false">
      <c r="B37" s="26" t="s">
        <v>224</v>
      </c>
      <c r="C37" s="13"/>
      <c r="D37" s="14"/>
      <c r="E37" s="27" t="s">
        <v>225</v>
      </c>
      <c r="F37" s="15" t="s">
        <v>226</v>
      </c>
      <c r="G37" s="15" t="s">
        <v>19</v>
      </c>
      <c r="H37" s="28" t="s">
        <v>34</v>
      </c>
      <c r="I37" s="23" t="s">
        <v>94</v>
      </c>
      <c r="J37" s="18" t="s">
        <v>227</v>
      </c>
    </row>
    <row r="38" customFormat="false" ht="39.55" hidden="false" customHeight="true" outlineLevel="0" collapsed="false">
      <c r="B38" s="26" t="s">
        <v>228</v>
      </c>
      <c r="C38" s="13"/>
      <c r="D38" s="14" t="s">
        <v>155</v>
      </c>
      <c r="E38" s="27" t="s">
        <v>229</v>
      </c>
      <c r="F38" s="15" t="s">
        <v>230</v>
      </c>
      <c r="G38" s="15" t="s">
        <v>19</v>
      </c>
      <c r="H38" s="24" t="s">
        <v>32</v>
      </c>
      <c r="I38" s="20" t="s">
        <v>84</v>
      </c>
      <c r="J38" s="18" t="s">
        <v>231</v>
      </c>
    </row>
    <row r="39" customFormat="false" ht="15" hidden="false" customHeight="false" outlineLevel="0" collapsed="false">
      <c r="B39" s="26" t="s">
        <v>232</v>
      </c>
      <c r="C39" s="13"/>
      <c r="D39" s="14"/>
      <c r="E39" s="27" t="s">
        <v>233</v>
      </c>
      <c r="F39" s="15" t="s">
        <v>234</v>
      </c>
      <c r="G39" s="15" t="s">
        <v>27</v>
      </c>
      <c r="H39" s="24" t="s">
        <v>32</v>
      </c>
      <c r="I39" s="20" t="s">
        <v>84</v>
      </c>
      <c r="J39" s="18" t="s">
        <v>235</v>
      </c>
    </row>
    <row r="40" customFormat="false" ht="15" hidden="false" customHeight="true" outlineLevel="0" collapsed="false">
      <c r="B40" s="19" t="s">
        <v>236</v>
      </c>
      <c r="C40" s="13" t="s">
        <v>237</v>
      </c>
      <c r="D40" s="14" t="s">
        <v>238</v>
      </c>
      <c r="E40" s="15" t="s">
        <v>239</v>
      </c>
      <c r="F40" s="15" t="s">
        <v>240</v>
      </c>
      <c r="G40" s="15" t="s">
        <v>19</v>
      </c>
      <c r="H40" s="16" t="s">
        <v>30</v>
      </c>
      <c r="I40" s="20" t="s">
        <v>84</v>
      </c>
      <c r="J40" s="21" t="s">
        <v>241</v>
      </c>
    </row>
    <row r="41" customFormat="false" ht="15" hidden="false" customHeight="false" outlineLevel="0" collapsed="false">
      <c r="B41" s="19" t="s">
        <v>242</v>
      </c>
      <c r="C41" s="13"/>
      <c r="D41" s="14"/>
      <c r="E41" s="15" t="s">
        <v>243</v>
      </c>
      <c r="F41" s="15" t="s">
        <v>244</v>
      </c>
      <c r="G41" s="15" t="s">
        <v>27</v>
      </c>
      <c r="H41" s="24" t="s">
        <v>32</v>
      </c>
      <c r="I41" s="20" t="s">
        <v>84</v>
      </c>
      <c r="J41" s="25" t="s">
        <v>245</v>
      </c>
    </row>
    <row r="42" customFormat="false" ht="15" hidden="false" customHeight="false" outlineLevel="0" collapsed="false">
      <c r="B42" s="19" t="s">
        <v>246</v>
      </c>
      <c r="C42" s="13"/>
      <c r="D42" s="14"/>
      <c r="E42" s="15" t="s">
        <v>247</v>
      </c>
      <c r="F42" s="22" t="s">
        <v>248</v>
      </c>
      <c r="G42" s="15" t="s">
        <v>27</v>
      </c>
      <c r="H42" s="28" t="s">
        <v>34</v>
      </c>
      <c r="I42" s="23" t="s">
        <v>94</v>
      </c>
      <c r="J42" s="25" t="s">
        <v>249</v>
      </c>
    </row>
    <row r="43" customFormat="false" ht="15" hidden="false" customHeight="false" outlineLevel="0" collapsed="false">
      <c r="B43" s="19" t="s">
        <v>250</v>
      </c>
      <c r="C43" s="13"/>
      <c r="D43" s="14"/>
      <c r="E43" s="15" t="s">
        <v>251</v>
      </c>
      <c r="F43" s="15" t="s">
        <v>252</v>
      </c>
      <c r="G43" s="15" t="s">
        <v>165</v>
      </c>
      <c r="H43" s="16" t="s">
        <v>30</v>
      </c>
      <c r="I43" s="20" t="s">
        <v>84</v>
      </c>
      <c r="J43" s="25" t="s">
        <v>253</v>
      </c>
    </row>
    <row r="44" customFormat="false" ht="15" hidden="false" customHeight="false" outlineLevel="0" collapsed="false">
      <c r="B44" s="19" t="s">
        <v>254</v>
      </c>
      <c r="C44" s="13"/>
      <c r="D44" s="14"/>
      <c r="E44" s="15" t="s">
        <v>255</v>
      </c>
      <c r="F44" s="15" t="s">
        <v>256</v>
      </c>
      <c r="G44" s="15" t="s">
        <v>165</v>
      </c>
      <c r="H44" s="16" t="s">
        <v>30</v>
      </c>
      <c r="I44" s="23" t="s">
        <v>94</v>
      </c>
      <c r="J44" s="21" t="s">
        <v>257</v>
      </c>
    </row>
    <row r="45" customFormat="false" ht="26.85" hidden="false" customHeight="true" outlineLevel="0" collapsed="false">
      <c r="B45" s="29" t="s">
        <v>258</v>
      </c>
      <c r="C45" s="13"/>
      <c r="D45" s="14" t="s">
        <v>259</v>
      </c>
      <c r="E45" s="15" t="s">
        <v>260</v>
      </c>
      <c r="F45" s="15" t="s">
        <v>261</v>
      </c>
      <c r="G45" s="15" t="s">
        <v>19</v>
      </c>
      <c r="H45" s="24" t="s">
        <v>32</v>
      </c>
      <c r="I45" s="20" t="s">
        <v>84</v>
      </c>
      <c r="J45" s="18" t="s">
        <v>262</v>
      </c>
    </row>
    <row r="46" customFormat="false" ht="15" hidden="false" customHeight="false" outlineLevel="0" collapsed="false">
      <c r="B46" s="19" t="s">
        <v>263</v>
      </c>
      <c r="C46" s="13"/>
      <c r="D46" s="14"/>
      <c r="E46" s="15" t="s">
        <v>264</v>
      </c>
      <c r="F46" s="15" t="s">
        <v>265</v>
      </c>
      <c r="G46" s="15" t="s">
        <v>165</v>
      </c>
      <c r="H46" s="16" t="s">
        <v>30</v>
      </c>
      <c r="I46" s="23" t="s">
        <v>94</v>
      </c>
      <c r="J46" s="25" t="s">
        <v>266</v>
      </c>
    </row>
    <row r="47" customFormat="false" ht="39.55" hidden="false" customHeight="false" outlineLevel="0" collapsed="false">
      <c r="B47" s="26" t="s">
        <v>267</v>
      </c>
      <c r="C47" s="13"/>
      <c r="D47" s="14" t="s">
        <v>238</v>
      </c>
      <c r="E47" s="27" t="s">
        <v>268</v>
      </c>
      <c r="F47" s="15" t="s">
        <v>269</v>
      </c>
      <c r="G47" s="15" t="s">
        <v>19</v>
      </c>
      <c r="H47" s="28" t="s">
        <v>34</v>
      </c>
      <c r="I47" s="20" t="s">
        <v>84</v>
      </c>
      <c r="J47" s="18" t="s">
        <v>270</v>
      </c>
    </row>
    <row r="48" customFormat="false" ht="15" hidden="false" customHeight="true" outlineLevel="0" collapsed="false">
      <c r="B48" s="19" t="s">
        <v>271</v>
      </c>
      <c r="C48" s="13" t="s">
        <v>272</v>
      </c>
      <c r="D48" s="14" t="s">
        <v>273</v>
      </c>
      <c r="E48" s="15" t="s">
        <v>274</v>
      </c>
      <c r="F48" s="22" t="s">
        <v>275</v>
      </c>
      <c r="G48" s="15" t="s">
        <v>27</v>
      </c>
      <c r="H48" s="16" t="s">
        <v>30</v>
      </c>
      <c r="I48" s="23" t="s">
        <v>94</v>
      </c>
      <c r="J48" s="21" t="s">
        <v>276</v>
      </c>
    </row>
    <row r="49" customFormat="false" ht="15" hidden="false" customHeight="false" outlineLevel="0" collapsed="false">
      <c r="B49" s="19" t="s">
        <v>277</v>
      </c>
      <c r="C49" s="13"/>
      <c r="D49" s="14"/>
      <c r="E49" s="15" t="s">
        <v>278</v>
      </c>
      <c r="F49" s="15" t="s">
        <v>279</v>
      </c>
      <c r="G49" s="15" t="s">
        <v>27</v>
      </c>
      <c r="H49" s="16" t="s">
        <v>30</v>
      </c>
      <c r="I49" s="17" t="s">
        <v>79</v>
      </c>
      <c r="J49" s="21" t="s">
        <v>280</v>
      </c>
    </row>
    <row r="50" customFormat="false" ht="15" hidden="false" customHeight="false" outlineLevel="0" collapsed="false">
      <c r="B50" s="19" t="s">
        <v>281</v>
      </c>
      <c r="C50" s="13"/>
      <c r="D50" s="14"/>
      <c r="E50" s="15" t="s">
        <v>282</v>
      </c>
      <c r="F50" s="15" t="s">
        <v>283</v>
      </c>
      <c r="G50" s="15" t="s">
        <v>27</v>
      </c>
      <c r="H50" s="16" t="s">
        <v>30</v>
      </c>
      <c r="I50" s="20" t="s">
        <v>84</v>
      </c>
      <c r="J50" s="21" t="s">
        <v>284</v>
      </c>
    </row>
    <row r="51" customFormat="false" ht="15" hidden="false" customHeight="false" outlineLevel="0" collapsed="false">
      <c r="B51" s="19" t="s">
        <v>285</v>
      </c>
      <c r="C51" s="13"/>
      <c r="D51" s="14"/>
      <c r="E51" s="15" t="s">
        <v>286</v>
      </c>
      <c r="F51" s="15" t="s">
        <v>287</v>
      </c>
      <c r="G51" s="15" t="s">
        <v>27</v>
      </c>
      <c r="H51" s="24" t="s">
        <v>32</v>
      </c>
      <c r="I51" s="20" t="s">
        <v>84</v>
      </c>
      <c r="J51" s="25" t="s">
        <v>288</v>
      </c>
    </row>
    <row r="52" customFormat="false" ht="15" hidden="false" customHeight="false" outlineLevel="0" collapsed="false">
      <c r="B52" s="19" t="s">
        <v>289</v>
      </c>
      <c r="C52" s="13"/>
      <c r="D52" s="14"/>
      <c r="E52" s="15" t="s">
        <v>290</v>
      </c>
      <c r="F52" s="15" t="s">
        <v>291</v>
      </c>
      <c r="G52" s="15" t="s">
        <v>27</v>
      </c>
      <c r="H52" s="16" t="s">
        <v>30</v>
      </c>
      <c r="I52" s="23" t="s">
        <v>94</v>
      </c>
      <c r="J52" s="21" t="s">
        <v>292</v>
      </c>
    </row>
    <row r="53" customFormat="false" ht="15" hidden="false" customHeight="false" outlineLevel="0" collapsed="false">
      <c r="B53" s="19" t="s">
        <v>293</v>
      </c>
      <c r="C53" s="13"/>
      <c r="D53" s="14"/>
      <c r="E53" s="15" t="s">
        <v>294</v>
      </c>
      <c r="F53" s="15" t="s">
        <v>295</v>
      </c>
      <c r="G53" s="15" t="s">
        <v>25</v>
      </c>
      <c r="H53" s="24" t="s">
        <v>32</v>
      </c>
      <c r="I53" s="23" t="s">
        <v>94</v>
      </c>
      <c r="J53" s="25" t="s">
        <v>296</v>
      </c>
    </row>
    <row r="54" customFormat="false" ht="15" hidden="false" customHeight="true" outlineLevel="0" collapsed="false">
      <c r="B54" s="19" t="s">
        <v>297</v>
      </c>
      <c r="C54" s="13"/>
      <c r="D54" s="14" t="s">
        <v>298</v>
      </c>
      <c r="E54" s="15" t="s">
        <v>299</v>
      </c>
      <c r="F54" s="15" t="s">
        <v>300</v>
      </c>
      <c r="G54" s="15" t="s">
        <v>165</v>
      </c>
      <c r="H54" s="16" t="s">
        <v>30</v>
      </c>
      <c r="I54" s="20" t="s">
        <v>84</v>
      </c>
      <c r="J54" s="25" t="s">
        <v>301</v>
      </c>
    </row>
    <row r="55" customFormat="false" ht="15" hidden="false" customHeight="false" outlineLevel="0" collapsed="false">
      <c r="B55" s="19" t="s">
        <v>302</v>
      </c>
      <c r="C55" s="13"/>
      <c r="D55" s="14"/>
      <c r="E55" s="15" t="s">
        <v>303</v>
      </c>
      <c r="F55" s="15" t="s">
        <v>304</v>
      </c>
      <c r="G55" s="15" t="s">
        <v>165</v>
      </c>
      <c r="H55" s="16" t="s">
        <v>30</v>
      </c>
      <c r="I55" s="17" t="s">
        <v>79</v>
      </c>
      <c r="J55" s="21" t="s">
        <v>305</v>
      </c>
    </row>
    <row r="56" customFormat="false" ht="15" hidden="false" customHeight="false" outlineLevel="0" collapsed="false">
      <c r="B56" s="19" t="s">
        <v>306</v>
      </c>
      <c r="C56" s="13"/>
      <c r="D56" s="14"/>
      <c r="E56" s="15" t="s">
        <v>307</v>
      </c>
      <c r="F56" s="15" t="s">
        <v>308</v>
      </c>
      <c r="G56" s="15" t="s">
        <v>165</v>
      </c>
      <c r="H56" s="16" t="s">
        <v>30</v>
      </c>
      <c r="I56" s="23" t="s">
        <v>94</v>
      </c>
      <c r="J56" s="25"/>
    </row>
    <row r="57" customFormat="false" ht="15" hidden="false" customHeight="false" outlineLevel="0" collapsed="false">
      <c r="B57" s="19" t="s">
        <v>309</v>
      </c>
      <c r="C57" s="13"/>
      <c r="D57" s="14"/>
      <c r="E57" s="15" t="s">
        <v>310</v>
      </c>
      <c r="F57" s="15" t="s">
        <v>311</v>
      </c>
      <c r="G57" s="15" t="s">
        <v>27</v>
      </c>
      <c r="H57" s="28" t="s">
        <v>34</v>
      </c>
      <c r="I57" s="20" t="s">
        <v>84</v>
      </c>
      <c r="J57" s="21" t="s">
        <v>312</v>
      </c>
    </row>
    <row r="58" customFormat="false" ht="15" hidden="false" customHeight="true" outlineLevel="0" collapsed="false">
      <c r="B58" s="19" t="s">
        <v>313</v>
      </c>
      <c r="C58" s="13"/>
      <c r="D58" s="14" t="s">
        <v>314</v>
      </c>
      <c r="E58" s="15" t="s">
        <v>315</v>
      </c>
      <c r="F58" s="15" t="s">
        <v>316</v>
      </c>
      <c r="G58" s="15" t="s">
        <v>19</v>
      </c>
      <c r="H58" s="16" t="s">
        <v>30</v>
      </c>
      <c r="I58" s="17" t="s">
        <v>79</v>
      </c>
      <c r="J58" s="21" t="s">
        <v>317</v>
      </c>
    </row>
    <row r="59" customFormat="false" ht="15" hidden="false" customHeight="false" outlineLevel="0" collapsed="false">
      <c r="B59" s="19" t="s">
        <v>318</v>
      </c>
      <c r="C59" s="13"/>
      <c r="D59" s="14"/>
      <c r="E59" s="15" t="s">
        <v>319</v>
      </c>
      <c r="F59" s="15" t="s">
        <v>320</v>
      </c>
      <c r="G59" s="15" t="s">
        <v>27</v>
      </c>
      <c r="H59" s="16" t="s">
        <v>30</v>
      </c>
      <c r="I59" s="17" t="s">
        <v>79</v>
      </c>
      <c r="J59" s="25" t="s">
        <v>321</v>
      </c>
    </row>
    <row r="60" customFormat="false" ht="15" hidden="false" customHeight="false" outlineLevel="0" collapsed="false">
      <c r="B60" s="19" t="s">
        <v>322</v>
      </c>
      <c r="C60" s="13"/>
      <c r="D60" s="14"/>
      <c r="E60" s="15" t="s">
        <v>323</v>
      </c>
      <c r="F60" s="22" t="s">
        <v>324</v>
      </c>
      <c r="G60" s="15" t="s">
        <v>27</v>
      </c>
      <c r="H60" s="24" t="s">
        <v>32</v>
      </c>
      <c r="I60" s="23" t="s">
        <v>94</v>
      </c>
      <c r="J60" s="25" t="s">
        <v>325</v>
      </c>
    </row>
    <row r="61" customFormat="false" ht="15" hidden="false" customHeight="false" outlineLevel="0" collapsed="false">
      <c r="B61" s="19" t="s">
        <v>326</v>
      </c>
      <c r="C61" s="13"/>
      <c r="D61" s="14"/>
      <c r="E61" s="15" t="s">
        <v>327</v>
      </c>
      <c r="F61" s="15" t="s">
        <v>328</v>
      </c>
      <c r="G61" s="15" t="s">
        <v>27</v>
      </c>
      <c r="H61" s="24" t="s">
        <v>32</v>
      </c>
      <c r="I61" s="23" t="s">
        <v>94</v>
      </c>
      <c r="J61" s="25"/>
    </row>
    <row r="62" customFormat="false" ht="15" hidden="false" customHeight="false" outlineLevel="0" collapsed="false">
      <c r="B62" s="19" t="s">
        <v>329</v>
      </c>
      <c r="C62" s="13"/>
      <c r="D62" s="14"/>
      <c r="E62" s="15" t="s">
        <v>330</v>
      </c>
      <c r="F62" s="15" t="s">
        <v>331</v>
      </c>
      <c r="G62" s="15" t="s">
        <v>27</v>
      </c>
      <c r="H62" s="24" t="s">
        <v>32</v>
      </c>
      <c r="I62" s="20" t="s">
        <v>84</v>
      </c>
      <c r="J62" s="25" t="s">
        <v>332</v>
      </c>
    </row>
    <row r="63" customFormat="false" ht="15" hidden="false" customHeight="false" outlineLevel="0" collapsed="false">
      <c r="B63" s="19" t="s">
        <v>333</v>
      </c>
      <c r="C63" s="13"/>
      <c r="D63" s="14"/>
      <c r="E63" s="15" t="s">
        <v>334</v>
      </c>
      <c r="F63" s="15" t="s">
        <v>335</v>
      </c>
      <c r="G63" s="15" t="s">
        <v>25</v>
      </c>
      <c r="H63" s="28" t="s">
        <v>34</v>
      </c>
      <c r="I63" s="20" t="s">
        <v>84</v>
      </c>
      <c r="J63" s="25"/>
    </row>
    <row r="64" customFormat="false" ht="15" hidden="false" customHeight="true" outlineLevel="0" collapsed="false">
      <c r="B64" s="19" t="s">
        <v>336</v>
      </c>
      <c r="C64" s="13" t="s">
        <v>337</v>
      </c>
      <c r="D64" s="14" t="s">
        <v>338</v>
      </c>
      <c r="E64" s="15" t="s">
        <v>339</v>
      </c>
      <c r="F64" s="15" t="s">
        <v>340</v>
      </c>
      <c r="G64" s="15" t="s">
        <v>19</v>
      </c>
      <c r="H64" s="16" t="s">
        <v>30</v>
      </c>
      <c r="I64" s="20" t="s">
        <v>84</v>
      </c>
      <c r="J64" s="21" t="s">
        <v>341</v>
      </c>
    </row>
    <row r="65" customFormat="false" ht="29.85" hidden="false" customHeight="false" outlineLevel="0" collapsed="false">
      <c r="B65" s="29" t="s">
        <v>342</v>
      </c>
      <c r="C65" s="13"/>
      <c r="D65" s="14"/>
      <c r="E65" s="15" t="s">
        <v>343</v>
      </c>
      <c r="F65" s="15" t="s">
        <v>344</v>
      </c>
      <c r="G65" s="15" t="s">
        <v>27</v>
      </c>
      <c r="H65" s="16" t="s">
        <v>30</v>
      </c>
      <c r="I65" s="20" t="s">
        <v>84</v>
      </c>
      <c r="J65" s="18" t="s">
        <v>345</v>
      </c>
    </row>
    <row r="66" customFormat="false" ht="15" hidden="false" customHeight="false" outlineLevel="0" collapsed="false">
      <c r="B66" s="19" t="s">
        <v>346</v>
      </c>
      <c r="C66" s="13"/>
      <c r="D66" s="14"/>
      <c r="E66" s="15" t="s">
        <v>347</v>
      </c>
      <c r="F66" s="15" t="s">
        <v>348</v>
      </c>
      <c r="G66" s="15" t="s">
        <v>19</v>
      </c>
      <c r="H66" s="16" t="s">
        <v>30</v>
      </c>
      <c r="I66" s="17" t="s">
        <v>79</v>
      </c>
      <c r="J66" s="21" t="s">
        <v>349</v>
      </c>
    </row>
    <row r="67" customFormat="false" ht="15" hidden="false" customHeight="false" outlineLevel="0" collapsed="false">
      <c r="B67" s="19" t="s">
        <v>350</v>
      </c>
      <c r="C67" s="13"/>
      <c r="D67" s="14"/>
      <c r="E67" s="15" t="s">
        <v>351</v>
      </c>
      <c r="F67" s="15" t="s">
        <v>352</v>
      </c>
      <c r="G67" s="15" t="s">
        <v>19</v>
      </c>
      <c r="H67" s="16" t="s">
        <v>30</v>
      </c>
      <c r="I67" s="23" t="s">
        <v>94</v>
      </c>
      <c r="J67" s="25" t="s">
        <v>353</v>
      </c>
    </row>
    <row r="68" customFormat="false" ht="15" hidden="false" customHeight="false" outlineLevel="0" collapsed="false">
      <c r="B68" s="19" t="s">
        <v>354</v>
      </c>
      <c r="C68" s="13"/>
      <c r="D68" s="14"/>
      <c r="E68" s="15" t="s">
        <v>355</v>
      </c>
      <c r="F68" s="15" t="s">
        <v>356</v>
      </c>
      <c r="G68" s="15" t="s">
        <v>27</v>
      </c>
      <c r="H68" s="16" t="s">
        <v>30</v>
      </c>
      <c r="I68" s="23" t="s">
        <v>94</v>
      </c>
      <c r="J68" s="21" t="s">
        <v>357</v>
      </c>
    </row>
    <row r="69" customFormat="false" ht="15" hidden="false" customHeight="false" outlineLevel="0" collapsed="false">
      <c r="B69" s="19" t="s">
        <v>358</v>
      </c>
      <c r="C69" s="13"/>
      <c r="D69" s="14"/>
      <c r="E69" s="15" t="s">
        <v>359</v>
      </c>
      <c r="F69" s="15" t="s">
        <v>360</v>
      </c>
      <c r="G69" s="15" t="s">
        <v>19</v>
      </c>
      <c r="H69" s="16" t="s">
        <v>30</v>
      </c>
      <c r="I69" s="20" t="s">
        <v>84</v>
      </c>
      <c r="J69" s="21" t="s">
        <v>361</v>
      </c>
    </row>
    <row r="70" customFormat="false" ht="15" hidden="false" customHeight="false" outlineLevel="0" collapsed="false">
      <c r="B70" s="19" t="s">
        <v>362</v>
      </c>
      <c r="C70" s="13"/>
      <c r="D70" s="14"/>
      <c r="E70" s="15" t="s">
        <v>363</v>
      </c>
      <c r="F70" s="15" t="s">
        <v>364</v>
      </c>
      <c r="G70" s="15" t="s">
        <v>19</v>
      </c>
      <c r="H70" s="16" t="s">
        <v>30</v>
      </c>
      <c r="I70" s="20" t="s">
        <v>84</v>
      </c>
      <c r="J70" s="21" t="s">
        <v>365</v>
      </c>
    </row>
    <row r="71" customFormat="false" ht="26.85" hidden="false" customHeight="false" outlineLevel="0" collapsed="false">
      <c r="B71" s="26" t="s">
        <v>366</v>
      </c>
      <c r="C71" s="13"/>
      <c r="D71" s="14"/>
      <c r="E71" s="27" t="s">
        <v>367</v>
      </c>
      <c r="F71" s="15" t="s">
        <v>368</v>
      </c>
      <c r="G71" s="15" t="s">
        <v>19</v>
      </c>
      <c r="H71" s="16" t="s">
        <v>30</v>
      </c>
      <c r="I71" s="17" t="s">
        <v>79</v>
      </c>
      <c r="J71" s="18" t="s">
        <v>369</v>
      </c>
    </row>
    <row r="72" customFormat="false" ht="15" hidden="false" customHeight="false" outlineLevel="0" collapsed="false">
      <c r="B72" s="19" t="s">
        <v>370</v>
      </c>
      <c r="C72" s="13"/>
      <c r="D72" s="14"/>
      <c r="E72" s="15" t="s">
        <v>371</v>
      </c>
      <c r="F72" s="15" t="s">
        <v>372</v>
      </c>
      <c r="G72" s="15" t="s">
        <v>27</v>
      </c>
      <c r="H72" s="16" t="s">
        <v>30</v>
      </c>
      <c r="I72" s="17" t="s">
        <v>79</v>
      </c>
      <c r="J72" s="25" t="s">
        <v>373</v>
      </c>
    </row>
    <row r="73" customFormat="false" ht="15" hidden="false" customHeight="true" outlineLevel="0" collapsed="false">
      <c r="B73" s="19" t="s">
        <v>374</v>
      </c>
      <c r="C73" s="13"/>
      <c r="D73" s="14" t="s">
        <v>375</v>
      </c>
      <c r="E73" s="15" t="s">
        <v>376</v>
      </c>
      <c r="F73" s="15" t="s">
        <v>377</v>
      </c>
      <c r="G73" s="15" t="s">
        <v>27</v>
      </c>
      <c r="H73" s="16" t="s">
        <v>30</v>
      </c>
      <c r="I73" s="17" t="s">
        <v>79</v>
      </c>
      <c r="J73" s="25" t="s">
        <v>378</v>
      </c>
    </row>
    <row r="74" customFormat="false" ht="15" hidden="false" customHeight="false" outlineLevel="0" collapsed="false">
      <c r="B74" s="19" t="s">
        <v>379</v>
      </c>
      <c r="C74" s="13"/>
      <c r="D74" s="14"/>
      <c r="E74" s="15" t="s">
        <v>380</v>
      </c>
      <c r="F74" s="15" t="s">
        <v>381</v>
      </c>
      <c r="G74" s="15" t="s">
        <v>27</v>
      </c>
      <c r="H74" s="16" t="s">
        <v>30</v>
      </c>
      <c r="I74" s="17" t="s">
        <v>79</v>
      </c>
      <c r="J74" s="25" t="s">
        <v>382</v>
      </c>
    </row>
    <row r="75" customFormat="false" ht="15" hidden="false" customHeight="false" outlineLevel="0" collapsed="false">
      <c r="B75" s="19" t="s">
        <v>383</v>
      </c>
      <c r="C75" s="13"/>
      <c r="D75" s="14"/>
      <c r="E75" s="15" t="s">
        <v>384</v>
      </c>
      <c r="F75" s="15" t="s">
        <v>385</v>
      </c>
      <c r="G75" s="15" t="s">
        <v>27</v>
      </c>
      <c r="H75" s="16" t="s">
        <v>30</v>
      </c>
      <c r="I75" s="20" t="s">
        <v>84</v>
      </c>
      <c r="J75" s="25" t="s">
        <v>386</v>
      </c>
    </row>
    <row r="76" customFormat="false" ht="15" hidden="false" customHeight="false" outlineLevel="0" collapsed="false">
      <c r="B76" s="19" t="s">
        <v>387</v>
      </c>
      <c r="C76" s="13"/>
      <c r="D76" s="14"/>
      <c r="E76" s="15" t="s">
        <v>388</v>
      </c>
      <c r="F76" s="15" t="s">
        <v>389</v>
      </c>
      <c r="G76" s="15" t="s">
        <v>27</v>
      </c>
      <c r="H76" s="16" t="s">
        <v>30</v>
      </c>
      <c r="I76" s="20" t="s">
        <v>84</v>
      </c>
      <c r="J76" s="25" t="s">
        <v>390</v>
      </c>
    </row>
    <row r="77" customFormat="false" ht="15" hidden="false" customHeight="false" outlineLevel="0" collapsed="false">
      <c r="B77" s="19" t="s">
        <v>391</v>
      </c>
      <c r="C77" s="13"/>
      <c r="D77" s="14"/>
      <c r="E77" s="15" t="s">
        <v>392</v>
      </c>
      <c r="F77" s="15" t="s">
        <v>393</v>
      </c>
      <c r="G77" s="15" t="s">
        <v>25</v>
      </c>
      <c r="H77" s="24" t="s">
        <v>32</v>
      </c>
      <c r="I77" s="23" t="s">
        <v>94</v>
      </c>
      <c r="J77" s="25" t="s">
        <v>394</v>
      </c>
    </row>
    <row r="78" customFormat="false" ht="15" hidden="false" customHeight="false" outlineLevel="0" collapsed="false">
      <c r="B78" s="19" t="s">
        <v>395</v>
      </c>
      <c r="C78" s="13"/>
      <c r="D78" s="14"/>
      <c r="E78" s="15" t="s">
        <v>396</v>
      </c>
      <c r="F78" s="15" t="s">
        <v>397</v>
      </c>
      <c r="G78" s="15" t="s">
        <v>27</v>
      </c>
      <c r="H78" s="24" t="s">
        <v>32</v>
      </c>
      <c r="I78" s="23" t="s">
        <v>94</v>
      </c>
      <c r="J78" s="25" t="s">
        <v>398</v>
      </c>
    </row>
    <row r="79" customFormat="false" ht="15" hidden="false" customHeight="true" outlineLevel="0" collapsed="false">
      <c r="B79" s="19" t="s">
        <v>399</v>
      </c>
      <c r="C79" s="13"/>
      <c r="D79" s="14" t="s">
        <v>400</v>
      </c>
      <c r="E79" s="15" t="s">
        <v>401</v>
      </c>
      <c r="F79" s="22" t="s">
        <v>402</v>
      </c>
      <c r="G79" s="15" t="s">
        <v>27</v>
      </c>
      <c r="H79" s="16" t="s">
        <v>30</v>
      </c>
      <c r="I79" s="23" t="s">
        <v>94</v>
      </c>
      <c r="J79" s="21" t="s">
        <v>403</v>
      </c>
    </row>
    <row r="80" customFormat="false" ht="15" hidden="false" customHeight="false" outlineLevel="0" collapsed="false">
      <c r="B80" s="19" t="s">
        <v>404</v>
      </c>
      <c r="C80" s="13"/>
      <c r="D80" s="14"/>
      <c r="E80" s="15" t="s">
        <v>405</v>
      </c>
      <c r="F80" s="15" t="s">
        <v>406</v>
      </c>
      <c r="G80" s="15" t="s">
        <v>27</v>
      </c>
      <c r="H80" s="16" t="s">
        <v>30</v>
      </c>
      <c r="I80" s="23" t="s">
        <v>94</v>
      </c>
      <c r="J80" s="25"/>
    </row>
    <row r="81" customFormat="false" ht="15" hidden="false" customHeight="false" outlineLevel="0" collapsed="false">
      <c r="B81" s="19" t="s">
        <v>407</v>
      </c>
      <c r="C81" s="13"/>
      <c r="D81" s="14"/>
      <c r="E81" s="15" t="s">
        <v>408</v>
      </c>
      <c r="F81" s="15" t="s">
        <v>409</v>
      </c>
      <c r="G81" s="15" t="s">
        <v>27</v>
      </c>
      <c r="H81" s="24" t="s">
        <v>32</v>
      </c>
      <c r="I81" s="20" t="s">
        <v>84</v>
      </c>
      <c r="J81" s="21" t="s">
        <v>410</v>
      </c>
    </row>
    <row r="82" customFormat="false" ht="15" hidden="false" customHeight="false" outlineLevel="0" collapsed="false">
      <c r="B82" s="19" t="s">
        <v>411</v>
      </c>
      <c r="C82" s="13"/>
      <c r="D82" s="14"/>
      <c r="E82" s="15" t="s">
        <v>412</v>
      </c>
      <c r="F82" s="15" t="s">
        <v>413</v>
      </c>
      <c r="G82" s="15" t="s">
        <v>27</v>
      </c>
      <c r="H82" s="24" t="s">
        <v>32</v>
      </c>
      <c r="I82" s="23" t="s">
        <v>94</v>
      </c>
      <c r="J82" s="25"/>
    </row>
    <row r="83" customFormat="false" ht="15" hidden="false" customHeight="true" outlineLevel="0" collapsed="false">
      <c r="B83" s="19" t="s">
        <v>414</v>
      </c>
      <c r="C83" s="13"/>
      <c r="D83" s="14" t="s">
        <v>415</v>
      </c>
      <c r="E83" s="15" t="s">
        <v>416</v>
      </c>
      <c r="F83" s="15" t="s">
        <v>417</v>
      </c>
      <c r="G83" s="15" t="s">
        <v>165</v>
      </c>
      <c r="H83" s="16" t="s">
        <v>30</v>
      </c>
      <c r="I83" s="23" t="s">
        <v>94</v>
      </c>
      <c r="J83" s="25"/>
    </row>
    <row r="84" customFormat="false" ht="15" hidden="false" customHeight="false" outlineLevel="0" collapsed="false">
      <c r="B84" s="19" t="s">
        <v>418</v>
      </c>
      <c r="C84" s="13"/>
      <c r="D84" s="14"/>
      <c r="E84" s="15" t="s">
        <v>419</v>
      </c>
      <c r="F84" s="15" t="s">
        <v>420</v>
      </c>
      <c r="G84" s="15" t="s">
        <v>19</v>
      </c>
      <c r="H84" s="16" t="s">
        <v>30</v>
      </c>
      <c r="I84" s="20" t="s">
        <v>84</v>
      </c>
      <c r="J84" s="25" t="s">
        <v>421</v>
      </c>
    </row>
    <row r="85" customFormat="false" ht="15" hidden="false" customHeight="false" outlineLevel="0" collapsed="false">
      <c r="B85" s="19" t="s">
        <v>422</v>
      </c>
      <c r="C85" s="13"/>
      <c r="D85" s="14"/>
      <c r="E85" s="15" t="s">
        <v>423</v>
      </c>
      <c r="F85" s="15" t="s">
        <v>424</v>
      </c>
      <c r="G85" s="15" t="s">
        <v>19</v>
      </c>
      <c r="H85" s="16" t="s">
        <v>30</v>
      </c>
      <c r="I85" s="23" t="s">
        <v>94</v>
      </c>
      <c r="J85" s="21" t="s">
        <v>425</v>
      </c>
    </row>
    <row r="86" customFormat="false" ht="26.85" hidden="false" customHeight="false" outlineLevel="0" collapsed="false">
      <c r="B86" s="29" t="s">
        <v>426</v>
      </c>
      <c r="C86" s="13"/>
      <c r="D86" s="14"/>
      <c r="E86" s="15" t="s">
        <v>427</v>
      </c>
      <c r="F86" s="15" t="s">
        <v>428</v>
      </c>
      <c r="G86" s="15" t="s">
        <v>165</v>
      </c>
      <c r="H86" s="16" t="s">
        <v>30</v>
      </c>
      <c r="I86" s="20" t="s">
        <v>84</v>
      </c>
      <c r="J86" s="18" t="s">
        <v>429</v>
      </c>
    </row>
    <row r="87" customFormat="false" ht="39.55" hidden="false" customHeight="false" outlineLevel="0" collapsed="false">
      <c r="B87" s="26" t="s">
        <v>430</v>
      </c>
      <c r="C87" s="13"/>
      <c r="D87" s="14"/>
      <c r="E87" s="27" t="s">
        <v>431</v>
      </c>
      <c r="F87" s="15" t="s">
        <v>432</v>
      </c>
      <c r="G87" s="15" t="s">
        <v>27</v>
      </c>
      <c r="H87" s="16" t="s">
        <v>30</v>
      </c>
      <c r="I87" s="23" t="s">
        <v>94</v>
      </c>
      <c r="J87" s="18" t="s">
        <v>433</v>
      </c>
    </row>
    <row r="88" customFormat="false" ht="15" hidden="false" customHeight="false" outlineLevel="0" collapsed="false">
      <c r="B88" s="19" t="s">
        <v>434</v>
      </c>
      <c r="C88" s="13"/>
      <c r="D88" s="14"/>
      <c r="E88" s="15" t="s">
        <v>435</v>
      </c>
      <c r="F88" s="15" t="s">
        <v>436</v>
      </c>
      <c r="G88" s="15" t="s">
        <v>165</v>
      </c>
      <c r="H88" s="24" t="s">
        <v>32</v>
      </c>
      <c r="I88" s="23" t="s">
        <v>94</v>
      </c>
      <c r="J88" s="25"/>
    </row>
    <row r="89" customFormat="false" ht="26.85" hidden="false" customHeight="false" outlineLevel="0" collapsed="false">
      <c r="B89" s="29" t="s">
        <v>437</v>
      </c>
      <c r="C89" s="13"/>
      <c r="D89" s="14"/>
      <c r="E89" s="15" t="s">
        <v>438</v>
      </c>
      <c r="F89" s="22" t="s">
        <v>439</v>
      </c>
      <c r="G89" s="15" t="s">
        <v>165</v>
      </c>
      <c r="H89" s="16" t="s">
        <v>30</v>
      </c>
      <c r="I89" s="20" t="s">
        <v>84</v>
      </c>
      <c r="J89" s="18" t="s">
        <v>440</v>
      </c>
    </row>
    <row r="90" customFormat="false" ht="52.2" hidden="false" customHeight="false" outlineLevel="0" collapsed="false">
      <c r="B90" s="26" t="s">
        <v>441</v>
      </c>
      <c r="C90" s="13"/>
      <c r="D90" s="14"/>
      <c r="E90" s="27" t="s">
        <v>442</v>
      </c>
      <c r="F90" s="15" t="s">
        <v>443</v>
      </c>
      <c r="G90" s="15" t="s">
        <v>19</v>
      </c>
      <c r="H90" s="16" t="s">
        <v>30</v>
      </c>
      <c r="I90" s="17" t="s">
        <v>79</v>
      </c>
      <c r="J90" s="18" t="s">
        <v>444</v>
      </c>
    </row>
    <row r="91" customFormat="false" ht="52.2" hidden="false" customHeight="false" outlineLevel="0" collapsed="false">
      <c r="B91" s="26" t="s">
        <v>445</v>
      </c>
      <c r="C91" s="13"/>
      <c r="D91" s="14"/>
      <c r="E91" s="27" t="s">
        <v>446</v>
      </c>
      <c r="F91" s="15" t="s">
        <v>447</v>
      </c>
      <c r="G91" s="15" t="s">
        <v>27</v>
      </c>
      <c r="H91" s="24" t="s">
        <v>32</v>
      </c>
      <c r="I91" s="17" t="s">
        <v>79</v>
      </c>
      <c r="J91" s="18" t="s">
        <v>448</v>
      </c>
    </row>
    <row r="92" customFormat="false" ht="26.85" hidden="false" customHeight="false" outlineLevel="0" collapsed="false">
      <c r="B92" s="26" t="s">
        <v>449</v>
      </c>
      <c r="C92" s="13"/>
      <c r="D92" s="14"/>
      <c r="E92" s="27" t="s">
        <v>450</v>
      </c>
      <c r="F92" s="15" t="s">
        <v>451</v>
      </c>
      <c r="G92" s="15" t="s">
        <v>19</v>
      </c>
      <c r="H92" s="24" t="s">
        <v>32</v>
      </c>
      <c r="I92" s="23" t="s">
        <v>94</v>
      </c>
      <c r="J92" s="18" t="s">
        <v>452</v>
      </c>
    </row>
    <row r="93" customFormat="false" ht="26.85" hidden="false" customHeight="true" outlineLevel="0" collapsed="false">
      <c r="B93" s="26" t="s">
        <v>453</v>
      </c>
      <c r="C93" s="13"/>
      <c r="D93" s="14" t="s">
        <v>454</v>
      </c>
      <c r="E93" s="27" t="s">
        <v>455</v>
      </c>
      <c r="F93" s="15" t="s">
        <v>456</v>
      </c>
      <c r="G93" s="15" t="s">
        <v>19</v>
      </c>
      <c r="H93" s="24" t="s">
        <v>32</v>
      </c>
      <c r="I93" s="17" t="s">
        <v>79</v>
      </c>
      <c r="J93" s="18" t="s">
        <v>457</v>
      </c>
    </row>
    <row r="94" customFormat="false" ht="26.85" hidden="false" customHeight="false" outlineLevel="0" collapsed="false">
      <c r="B94" s="26" t="s">
        <v>458</v>
      </c>
      <c r="C94" s="13"/>
      <c r="D94" s="14"/>
      <c r="E94" s="27" t="s">
        <v>459</v>
      </c>
      <c r="F94" s="15" t="s">
        <v>460</v>
      </c>
      <c r="G94" s="15" t="s">
        <v>27</v>
      </c>
      <c r="H94" s="24" t="s">
        <v>32</v>
      </c>
      <c r="I94" s="17" t="s">
        <v>79</v>
      </c>
      <c r="J94" s="18" t="s">
        <v>461</v>
      </c>
    </row>
    <row r="95" customFormat="false" ht="15" hidden="false" customHeight="false" outlineLevel="0" collapsed="false">
      <c r="B95" s="26" t="s">
        <v>462</v>
      </c>
      <c r="C95" s="13"/>
      <c r="D95" s="14"/>
      <c r="E95" s="27" t="s">
        <v>463</v>
      </c>
      <c r="F95" s="15" t="s">
        <v>464</v>
      </c>
      <c r="G95" s="15" t="s">
        <v>27</v>
      </c>
      <c r="H95" s="24" t="s">
        <v>32</v>
      </c>
      <c r="I95" s="20" t="s">
        <v>84</v>
      </c>
      <c r="J95" s="18" t="s">
        <v>465</v>
      </c>
    </row>
    <row r="96" customFormat="false" ht="26.85" hidden="false" customHeight="false" outlineLevel="0" collapsed="false">
      <c r="B96" s="26" t="s">
        <v>466</v>
      </c>
      <c r="C96" s="13"/>
      <c r="D96" s="14"/>
      <c r="E96" s="27" t="s">
        <v>467</v>
      </c>
      <c r="F96" s="15" t="s">
        <v>468</v>
      </c>
      <c r="G96" s="15" t="s">
        <v>27</v>
      </c>
      <c r="H96" s="28" t="s">
        <v>34</v>
      </c>
      <c r="I96" s="20" t="s">
        <v>84</v>
      </c>
      <c r="J96" s="18" t="s">
        <v>469</v>
      </c>
    </row>
    <row r="97" customFormat="false" ht="15" hidden="false" customHeight="true" outlineLevel="0" collapsed="false">
      <c r="B97" s="19" t="s">
        <v>470</v>
      </c>
      <c r="C97" s="13"/>
      <c r="D97" s="14" t="s">
        <v>471</v>
      </c>
      <c r="E97" s="15" t="s">
        <v>472</v>
      </c>
      <c r="F97" s="15" t="s">
        <v>473</v>
      </c>
      <c r="G97" s="15" t="s">
        <v>19</v>
      </c>
      <c r="H97" s="16" t="s">
        <v>30</v>
      </c>
      <c r="I97" s="23" t="s">
        <v>94</v>
      </c>
      <c r="J97" s="25" t="s">
        <v>474</v>
      </c>
    </row>
    <row r="98" customFormat="false" ht="15" hidden="false" customHeight="false" outlineLevel="0" collapsed="false">
      <c r="B98" s="19" t="s">
        <v>475</v>
      </c>
      <c r="C98" s="13"/>
      <c r="D98" s="14"/>
      <c r="E98" s="15" t="s">
        <v>476</v>
      </c>
      <c r="F98" s="15" t="s">
        <v>477</v>
      </c>
      <c r="G98" s="15" t="s">
        <v>27</v>
      </c>
      <c r="H98" s="24" t="s">
        <v>32</v>
      </c>
      <c r="I98" s="23" t="s">
        <v>94</v>
      </c>
      <c r="J98" s="25" t="s">
        <v>478</v>
      </c>
    </row>
    <row r="99" customFormat="false" ht="15" hidden="false" customHeight="false" outlineLevel="0" collapsed="false">
      <c r="B99" s="19" t="s">
        <v>479</v>
      </c>
      <c r="C99" s="13"/>
      <c r="D99" s="14"/>
      <c r="E99" s="15" t="s">
        <v>480</v>
      </c>
      <c r="F99" s="15" t="s">
        <v>311</v>
      </c>
      <c r="G99" s="15" t="s">
        <v>27</v>
      </c>
      <c r="H99" s="28" t="s">
        <v>34</v>
      </c>
      <c r="I99" s="20" t="s">
        <v>84</v>
      </c>
      <c r="J99" s="25"/>
    </row>
    <row r="100" customFormat="false" ht="15" hidden="false" customHeight="true" outlineLevel="0" collapsed="false">
      <c r="B100" s="19" t="s">
        <v>481</v>
      </c>
      <c r="C100" s="13"/>
      <c r="D100" s="14" t="s">
        <v>482</v>
      </c>
      <c r="E100" s="15" t="s">
        <v>483</v>
      </c>
      <c r="F100" s="15" t="s">
        <v>484</v>
      </c>
      <c r="G100" s="15" t="s">
        <v>19</v>
      </c>
      <c r="H100" s="24" t="s">
        <v>32</v>
      </c>
      <c r="I100" s="23" t="s">
        <v>94</v>
      </c>
      <c r="J100" s="25" t="s">
        <v>485</v>
      </c>
    </row>
    <row r="101" customFormat="false" ht="15" hidden="false" customHeight="false" outlineLevel="0" collapsed="false">
      <c r="B101" s="19" t="s">
        <v>486</v>
      </c>
      <c r="C101" s="13"/>
      <c r="D101" s="14"/>
      <c r="E101" s="15" t="s">
        <v>487</v>
      </c>
      <c r="F101" s="15" t="s">
        <v>488</v>
      </c>
      <c r="G101" s="15" t="s">
        <v>27</v>
      </c>
      <c r="H101" s="24" t="s">
        <v>32</v>
      </c>
      <c r="I101" s="20" t="s">
        <v>84</v>
      </c>
      <c r="J101" s="25"/>
    </row>
    <row r="102" customFormat="false" ht="26.85" hidden="false" customHeight="true" outlineLevel="0" collapsed="false">
      <c r="B102" s="29" t="s">
        <v>489</v>
      </c>
      <c r="C102" s="13" t="s">
        <v>490</v>
      </c>
      <c r="D102" s="14" t="s">
        <v>491</v>
      </c>
      <c r="E102" s="15" t="s">
        <v>492</v>
      </c>
      <c r="F102" s="15" t="s">
        <v>493</v>
      </c>
      <c r="G102" s="15" t="s">
        <v>165</v>
      </c>
      <c r="H102" s="16" t="s">
        <v>30</v>
      </c>
      <c r="I102" s="17" t="s">
        <v>79</v>
      </c>
      <c r="J102" s="18" t="s">
        <v>494</v>
      </c>
    </row>
    <row r="103" customFormat="false" ht="15" hidden="false" customHeight="false" outlineLevel="0" collapsed="false">
      <c r="B103" s="19" t="s">
        <v>495</v>
      </c>
      <c r="C103" s="13"/>
      <c r="D103" s="14"/>
      <c r="E103" s="15" t="s">
        <v>496</v>
      </c>
      <c r="F103" s="15" t="s">
        <v>497</v>
      </c>
      <c r="G103" s="15" t="s">
        <v>27</v>
      </c>
      <c r="H103" s="16" t="s">
        <v>30</v>
      </c>
      <c r="I103" s="20" t="s">
        <v>84</v>
      </c>
      <c r="J103" s="25" t="s">
        <v>498</v>
      </c>
    </row>
    <row r="104" customFormat="false" ht="15" hidden="false" customHeight="false" outlineLevel="0" collapsed="false">
      <c r="B104" s="19" t="s">
        <v>499</v>
      </c>
      <c r="C104" s="13"/>
      <c r="D104" s="14"/>
      <c r="E104" s="15" t="s">
        <v>500</v>
      </c>
      <c r="F104" s="15" t="s">
        <v>501</v>
      </c>
      <c r="G104" s="15" t="s">
        <v>19</v>
      </c>
      <c r="H104" s="24" t="s">
        <v>32</v>
      </c>
      <c r="I104" s="23" t="s">
        <v>94</v>
      </c>
      <c r="J104" s="25"/>
    </row>
    <row r="105" customFormat="false" ht="15" hidden="false" customHeight="false" outlineLevel="0" collapsed="false">
      <c r="B105" s="26" t="s">
        <v>502</v>
      </c>
      <c r="C105" s="13"/>
      <c r="D105" s="14"/>
      <c r="E105" s="27" t="s">
        <v>503</v>
      </c>
      <c r="F105" s="15" t="s">
        <v>504</v>
      </c>
      <c r="G105" s="15" t="s">
        <v>165</v>
      </c>
      <c r="H105" s="16" t="s">
        <v>30</v>
      </c>
      <c r="I105" s="20" t="s">
        <v>84</v>
      </c>
      <c r="J105" s="18" t="s">
        <v>505</v>
      </c>
    </row>
    <row r="106" customFormat="false" ht="15" hidden="false" customHeight="false" outlineLevel="0" collapsed="false">
      <c r="B106" s="26" t="s">
        <v>506</v>
      </c>
      <c r="C106" s="13"/>
      <c r="D106" s="14"/>
      <c r="E106" s="27" t="s">
        <v>507</v>
      </c>
      <c r="F106" s="15" t="s">
        <v>508</v>
      </c>
      <c r="G106" s="15" t="s">
        <v>165</v>
      </c>
      <c r="H106" s="16" t="s">
        <v>30</v>
      </c>
      <c r="I106" s="23" t="s">
        <v>94</v>
      </c>
      <c r="J106" s="18" t="s">
        <v>509</v>
      </c>
    </row>
    <row r="107" customFormat="false" ht="15" hidden="false" customHeight="true" outlineLevel="0" collapsed="false">
      <c r="B107" s="19" t="s">
        <v>510</v>
      </c>
      <c r="C107" s="13"/>
      <c r="D107" s="14" t="s">
        <v>511</v>
      </c>
      <c r="E107" s="15" t="s">
        <v>512</v>
      </c>
      <c r="F107" s="15" t="s">
        <v>513</v>
      </c>
      <c r="G107" s="15" t="s">
        <v>19</v>
      </c>
      <c r="H107" s="16" t="s">
        <v>30</v>
      </c>
      <c r="I107" s="23" t="s">
        <v>94</v>
      </c>
      <c r="J107" s="21" t="s">
        <v>514</v>
      </c>
    </row>
    <row r="108" customFormat="false" ht="15" hidden="false" customHeight="false" outlineLevel="0" collapsed="false">
      <c r="B108" s="19" t="s">
        <v>515</v>
      </c>
      <c r="C108" s="13"/>
      <c r="D108" s="14"/>
      <c r="E108" s="15" t="s">
        <v>516</v>
      </c>
      <c r="F108" s="15" t="s">
        <v>517</v>
      </c>
      <c r="G108" s="15" t="s">
        <v>165</v>
      </c>
      <c r="H108" s="16" t="s">
        <v>30</v>
      </c>
      <c r="I108" s="20" t="s">
        <v>84</v>
      </c>
      <c r="J108" s="21" t="s">
        <v>518</v>
      </c>
    </row>
    <row r="109" customFormat="false" ht="15" hidden="false" customHeight="false" outlineLevel="0" collapsed="false">
      <c r="B109" s="19" t="s">
        <v>519</v>
      </c>
      <c r="C109" s="13"/>
      <c r="D109" s="14"/>
      <c r="E109" s="15" t="s">
        <v>520</v>
      </c>
      <c r="F109" s="15" t="s">
        <v>521</v>
      </c>
      <c r="G109" s="15" t="s">
        <v>19</v>
      </c>
      <c r="H109" s="24" t="s">
        <v>32</v>
      </c>
      <c r="I109" s="20" t="s">
        <v>84</v>
      </c>
      <c r="J109" s="25" t="s">
        <v>522</v>
      </c>
    </row>
    <row r="110" customFormat="false" ht="15" hidden="false" customHeight="false" outlineLevel="0" collapsed="false">
      <c r="B110" s="19" t="s">
        <v>523</v>
      </c>
      <c r="C110" s="13"/>
      <c r="D110" s="14"/>
      <c r="E110" s="15" t="s">
        <v>524</v>
      </c>
      <c r="F110" s="15" t="s">
        <v>525</v>
      </c>
      <c r="G110" s="15" t="s">
        <v>19</v>
      </c>
      <c r="H110" s="16" t="s">
        <v>30</v>
      </c>
      <c r="I110" s="23" t="s">
        <v>94</v>
      </c>
      <c r="J110" s="25"/>
    </row>
    <row r="111" customFormat="false" ht="15" hidden="false" customHeight="false" outlineLevel="0" collapsed="false">
      <c r="B111" s="19" t="s">
        <v>526</v>
      </c>
      <c r="C111" s="13"/>
      <c r="D111" s="14"/>
      <c r="E111" s="15" t="s">
        <v>527</v>
      </c>
      <c r="F111" s="15" t="s">
        <v>528</v>
      </c>
      <c r="G111" s="15" t="s">
        <v>19</v>
      </c>
      <c r="H111" s="16" t="s">
        <v>30</v>
      </c>
      <c r="I111" s="23" t="s">
        <v>94</v>
      </c>
      <c r="J111" s="25" t="s">
        <v>529</v>
      </c>
    </row>
    <row r="112" customFormat="false" ht="15" hidden="false" customHeight="false" outlineLevel="0" collapsed="false">
      <c r="B112" s="19" t="s">
        <v>530</v>
      </c>
      <c r="C112" s="13"/>
      <c r="D112" s="14"/>
      <c r="E112" s="15" t="s">
        <v>531</v>
      </c>
      <c r="F112" s="15" t="s">
        <v>532</v>
      </c>
      <c r="G112" s="15" t="s">
        <v>19</v>
      </c>
      <c r="H112" s="28" t="s">
        <v>34</v>
      </c>
      <c r="I112" s="23" t="s">
        <v>94</v>
      </c>
      <c r="J112" s="25"/>
    </row>
    <row r="113" customFormat="false" ht="15" hidden="false" customHeight="true" outlineLevel="0" collapsed="false">
      <c r="B113" s="19" t="s">
        <v>533</v>
      </c>
      <c r="C113" s="13"/>
      <c r="D113" s="14" t="s">
        <v>534</v>
      </c>
      <c r="E113" s="15" t="s">
        <v>535</v>
      </c>
      <c r="F113" s="15" t="s">
        <v>536</v>
      </c>
      <c r="G113" s="15" t="s">
        <v>19</v>
      </c>
      <c r="H113" s="24" t="s">
        <v>32</v>
      </c>
      <c r="I113" s="23" t="s">
        <v>94</v>
      </c>
      <c r="J113" s="25" t="s">
        <v>537</v>
      </c>
    </row>
    <row r="114" customFormat="false" ht="15" hidden="false" customHeight="false" outlineLevel="0" collapsed="false">
      <c r="B114" s="19" t="s">
        <v>538</v>
      </c>
      <c r="C114" s="13"/>
      <c r="D114" s="14"/>
      <c r="E114" s="15" t="s">
        <v>539</v>
      </c>
      <c r="F114" s="15" t="s">
        <v>540</v>
      </c>
      <c r="G114" s="15" t="s">
        <v>19</v>
      </c>
      <c r="H114" s="24" t="s">
        <v>32</v>
      </c>
      <c r="I114" s="23" t="s">
        <v>94</v>
      </c>
      <c r="J114" s="25"/>
    </row>
    <row r="115" customFormat="false" ht="15" hidden="false" customHeight="false" outlineLevel="0" collapsed="false">
      <c r="B115" s="19" t="s">
        <v>541</v>
      </c>
      <c r="C115" s="13"/>
      <c r="D115" s="14"/>
      <c r="E115" s="15" t="s">
        <v>542</v>
      </c>
      <c r="F115" s="15" t="s">
        <v>543</v>
      </c>
      <c r="G115" s="15" t="s">
        <v>19</v>
      </c>
      <c r="H115" s="24" t="s">
        <v>32</v>
      </c>
      <c r="I115" s="23" t="s">
        <v>94</v>
      </c>
      <c r="J115" s="25"/>
    </row>
    <row r="116" customFormat="false" ht="26.85" hidden="false" customHeight="true" outlineLevel="0" collapsed="false">
      <c r="B116" s="29" t="s">
        <v>544</v>
      </c>
      <c r="C116" s="13"/>
      <c r="D116" s="14" t="s">
        <v>545</v>
      </c>
      <c r="E116" s="15" t="s">
        <v>546</v>
      </c>
      <c r="F116" s="15" t="s">
        <v>547</v>
      </c>
      <c r="G116" s="15" t="s">
        <v>27</v>
      </c>
      <c r="H116" s="24" t="s">
        <v>32</v>
      </c>
      <c r="I116" s="20" t="s">
        <v>84</v>
      </c>
      <c r="J116" s="18" t="s">
        <v>548</v>
      </c>
    </row>
    <row r="117" customFormat="false" ht="15" hidden="false" customHeight="false" outlineLevel="0" collapsed="false">
      <c r="B117" s="26" t="s">
        <v>549</v>
      </c>
      <c r="C117" s="13"/>
      <c r="D117" s="14"/>
      <c r="E117" s="27" t="s">
        <v>550</v>
      </c>
      <c r="F117" s="15" t="s">
        <v>551</v>
      </c>
      <c r="G117" s="15" t="s">
        <v>27</v>
      </c>
      <c r="H117" s="16" t="s">
        <v>30</v>
      </c>
      <c r="I117" s="20" t="s">
        <v>84</v>
      </c>
      <c r="J117" s="18" t="s">
        <v>552</v>
      </c>
    </row>
    <row r="118" customFormat="false" ht="26.85" hidden="false" customHeight="false" outlineLevel="0" collapsed="false">
      <c r="B118" s="26" t="s">
        <v>553</v>
      </c>
      <c r="C118" s="13"/>
      <c r="D118" s="14"/>
      <c r="E118" s="27" t="s">
        <v>554</v>
      </c>
      <c r="F118" s="15" t="s">
        <v>555</v>
      </c>
      <c r="G118" s="15" t="s">
        <v>27</v>
      </c>
      <c r="H118" s="16" t="s">
        <v>30</v>
      </c>
      <c r="I118" s="20" t="s">
        <v>84</v>
      </c>
      <c r="J118" s="18" t="s">
        <v>556</v>
      </c>
    </row>
    <row r="119" customFormat="false" ht="39.55" hidden="false" customHeight="false" outlineLevel="0" collapsed="false">
      <c r="B119" s="26" t="s">
        <v>557</v>
      </c>
      <c r="C119" s="13"/>
      <c r="D119" s="14"/>
      <c r="E119" s="27" t="s">
        <v>558</v>
      </c>
      <c r="F119" s="15" t="s">
        <v>559</v>
      </c>
      <c r="G119" s="15" t="s">
        <v>27</v>
      </c>
      <c r="H119" s="16" t="s">
        <v>30</v>
      </c>
      <c r="I119" s="17" t="s">
        <v>79</v>
      </c>
      <c r="J119" s="18" t="s">
        <v>560</v>
      </c>
    </row>
    <row r="120" customFormat="false" ht="26.85" hidden="false" customHeight="false" outlineLevel="0" collapsed="false">
      <c r="B120" s="26" t="s">
        <v>561</v>
      </c>
      <c r="C120" s="13"/>
      <c r="D120" s="14"/>
      <c r="E120" s="27" t="s">
        <v>562</v>
      </c>
      <c r="F120" s="15" t="s">
        <v>563</v>
      </c>
      <c r="G120" s="15" t="s">
        <v>27</v>
      </c>
      <c r="H120" s="24" t="s">
        <v>32</v>
      </c>
      <c r="I120" s="23" t="s">
        <v>94</v>
      </c>
      <c r="J120" s="18" t="s">
        <v>564</v>
      </c>
    </row>
    <row r="121" customFormat="false" ht="15" hidden="false" customHeight="false" outlineLevel="0" collapsed="false">
      <c r="B121" s="19" t="s">
        <v>565</v>
      </c>
      <c r="C121" s="13"/>
      <c r="D121" s="14"/>
      <c r="E121" s="15" t="s">
        <v>566</v>
      </c>
      <c r="F121" s="15" t="s">
        <v>567</v>
      </c>
      <c r="G121" s="15" t="s">
        <v>165</v>
      </c>
      <c r="H121" s="24" t="s">
        <v>32</v>
      </c>
      <c r="I121" s="23" t="s">
        <v>94</v>
      </c>
      <c r="J121" s="25"/>
    </row>
    <row r="122" customFormat="false" ht="15" hidden="false" customHeight="false" outlineLevel="0" collapsed="false">
      <c r="B122" s="19" t="s">
        <v>568</v>
      </c>
      <c r="C122" s="13"/>
      <c r="D122" s="14"/>
      <c r="E122" s="15" t="s">
        <v>569</v>
      </c>
      <c r="F122" s="15" t="s">
        <v>570</v>
      </c>
      <c r="G122" s="15" t="s">
        <v>165</v>
      </c>
      <c r="H122" s="28" t="s">
        <v>34</v>
      </c>
      <c r="I122" s="23" t="s">
        <v>94</v>
      </c>
      <c r="J122" s="25"/>
    </row>
    <row r="123" customFormat="false" ht="26.85" hidden="false" customHeight="false" outlineLevel="0" collapsed="false">
      <c r="B123" s="26" t="s">
        <v>571</v>
      </c>
      <c r="C123" s="13"/>
      <c r="D123" s="14"/>
      <c r="E123" s="27" t="s">
        <v>572</v>
      </c>
      <c r="F123" s="15" t="s">
        <v>573</v>
      </c>
      <c r="G123" s="15" t="s">
        <v>165</v>
      </c>
      <c r="H123" s="16" t="s">
        <v>30</v>
      </c>
      <c r="I123" s="20" t="s">
        <v>84</v>
      </c>
      <c r="J123" s="18" t="s">
        <v>574</v>
      </c>
    </row>
    <row r="124" customFormat="false" ht="15" hidden="false" customHeight="true" outlineLevel="0" collapsed="false">
      <c r="B124" s="19" t="s">
        <v>575</v>
      </c>
      <c r="C124" s="13" t="s">
        <v>576</v>
      </c>
      <c r="D124" s="14" t="s">
        <v>577</v>
      </c>
      <c r="E124" s="15" t="s">
        <v>578</v>
      </c>
      <c r="F124" s="15" t="s">
        <v>579</v>
      </c>
      <c r="G124" s="15" t="s">
        <v>165</v>
      </c>
      <c r="H124" s="16" t="s">
        <v>30</v>
      </c>
      <c r="I124" s="17" t="s">
        <v>79</v>
      </c>
      <c r="J124" s="25" t="s">
        <v>580</v>
      </c>
    </row>
    <row r="125" customFormat="false" ht="15" hidden="false" customHeight="false" outlineLevel="0" collapsed="false">
      <c r="B125" s="19" t="s">
        <v>581</v>
      </c>
      <c r="C125" s="13"/>
      <c r="D125" s="14"/>
      <c r="E125" s="15" t="s">
        <v>582</v>
      </c>
      <c r="F125" s="15" t="s">
        <v>583</v>
      </c>
      <c r="G125" s="15" t="s">
        <v>27</v>
      </c>
      <c r="H125" s="16" t="s">
        <v>30</v>
      </c>
      <c r="I125" s="17" t="s">
        <v>79</v>
      </c>
      <c r="J125" s="21" t="s">
        <v>584</v>
      </c>
    </row>
    <row r="126" customFormat="false" ht="15" hidden="false" customHeight="false" outlineLevel="0" collapsed="false">
      <c r="B126" s="19" t="s">
        <v>585</v>
      </c>
      <c r="C126" s="13"/>
      <c r="D126" s="14"/>
      <c r="E126" s="15" t="s">
        <v>586</v>
      </c>
      <c r="F126" s="15" t="s">
        <v>587</v>
      </c>
      <c r="G126" s="15" t="s">
        <v>27</v>
      </c>
      <c r="H126" s="16" t="s">
        <v>30</v>
      </c>
      <c r="I126" s="20" t="s">
        <v>84</v>
      </c>
      <c r="J126" s="25" t="s">
        <v>588</v>
      </c>
    </row>
    <row r="127" customFormat="false" ht="26.85" hidden="false" customHeight="false" outlineLevel="0" collapsed="false">
      <c r="B127" s="29" t="s">
        <v>589</v>
      </c>
      <c r="C127" s="13"/>
      <c r="D127" s="14"/>
      <c r="E127" s="15" t="s">
        <v>590</v>
      </c>
      <c r="F127" s="15" t="s">
        <v>591</v>
      </c>
      <c r="G127" s="15" t="s">
        <v>27</v>
      </c>
      <c r="H127" s="16" t="s">
        <v>30</v>
      </c>
      <c r="I127" s="17" t="s">
        <v>79</v>
      </c>
      <c r="J127" s="18" t="s">
        <v>592</v>
      </c>
    </row>
    <row r="128" customFormat="false" ht="26.85" hidden="false" customHeight="false" outlineLevel="0" collapsed="false">
      <c r="B128" s="29" t="s">
        <v>593</v>
      </c>
      <c r="C128" s="13"/>
      <c r="D128" s="14"/>
      <c r="E128" s="15" t="s">
        <v>594</v>
      </c>
      <c r="F128" s="15" t="s">
        <v>595</v>
      </c>
      <c r="G128" s="15" t="s">
        <v>165</v>
      </c>
      <c r="H128" s="16" t="s">
        <v>30</v>
      </c>
      <c r="I128" s="20" t="s">
        <v>84</v>
      </c>
      <c r="J128" s="18" t="s">
        <v>596</v>
      </c>
    </row>
    <row r="129" customFormat="false" ht="15" hidden="false" customHeight="false" outlineLevel="0" collapsed="false">
      <c r="B129" s="19" t="s">
        <v>597</v>
      </c>
      <c r="C129" s="13"/>
      <c r="D129" s="14"/>
      <c r="E129" s="15" t="s">
        <v>598</v>
      </c>
      <c r="F129" s="15" t="s">
        <v>599</v>
      </c>
      <c r="G129" s="15" t="s">
        <v>165</v>
      </c>
      <c r="H129" s="24" t="s">
        <v>32</v>
      </c>
      <c r="I129" s="20" t="s">
        <v>84</v>
      </c>
      <c r="J129" s="25"/>
    </row>
    <row r="130" customFormat="false" ht="15" hidden="false" customHeight="false" outlineLevel="0" collapsed="false">
      <c r="B130" s="19" t="s">
        <v>600</v>
      </c>
      <c r="C130" s="13"/>
      <c r="D130" s="14"/>
      <c r="E130" s="15" t="s">
        <v>601</v>
      </c>
      <c r="F130" s="15" t="s">
        <v>602</v>
      </c>
      <c r="G130" s="15" t="s">
        <v>27</v>
      </c>
      <c r="H130" s="24" t="s">
        <v>32</v>
      </c>
      <c r="I130" s="20" t="s">
        <v>84</v>
      </c>
      <c r="J130" s="25" t="s">
        <v>603</v>
      </c>
    </row>
    <row r="131" customFormat="false" ht="29.85" hidden="false" customHeight="false" outlineLevel="0" collapsed="false">
      <c r="B131" s="12" t="s">
        <v>604</v>
      </c>
      <c r="C131" s="13"/>
      <c r="D131" s="14"/>
      <c r="E131" s="15" t="s">
        <v>605</v>
      </c>
      <c r="F131" s="15" t="s">
        <v>606</v>
      </c>
      <c r="G131" s="15" t="s">
        <v>165</v>
      </c>
      <c r="H131" s="16" t="s">
        <v>30</v>
      </c>
      <c r="I131" s="17" t="s">
        <v>79</v>
      </c>
      <c r="J131" s="18" t="s">
        <v>607</v>
      </c>
    </row>
    <row r="132" customFormat="false" ht="26.85" hidden="false" customHeight="false" outlineLevel="0" collapsed="false">
      <c r="B132" s="26" t="s">
        <v>608</v>
      </c>
      <c r="C132" s="13"/>
      <c r="D132" s="14"/>
      <c r="E132" s="27" t="s">
        <v>609</v>
      </c>
      <c r="F132" s="15" t="s">
        <v>610</v>
      </c>
      <c r="G132" s="15" t="s">
        <v>27</v>
      </c>
      <c r="H132" s="24" t="s">
        <v>32</v>
      </c>
      <c r="I132" s="20" t="s">
        <v>84</v>
      </c>
      <c r="J132" s="18" t="s">
        <v>611</v>
      </c>
    </row>
    <row r="133" customFormat="false" ht="26.85" hidden="false" customHeight="false" outlineLevel="0" collapsed="false">
      <c r="B133" s="12" t="s">
        <v>612</v>
      </c>
      <c r="C133" s="13"/>
      <c r="D133" s="14"/>
      <c r="E133" s="15" t="s">
        <v>613</v>
      </c>
      <c r="F133" s="15" t="s">
        <v>614</v>
      </c>
      <c r="G133" s="15" t="s">
        <v>27</v>
      </c>
      <c r="H133" s="16" t="s">
        <v>30</v>
      </c>
      <c r="I133" s="23" t="s">
        <v>94</v>
      </c>
      <c r="J133" s="18" t="s">
        <v>615</v>
      </c>
    </row>
    <row r="134" customFormat="false" ht="52.2" hidden="false" customHeight="false" outlineLevel="0" collapsed="false">
      <c r="B134" s="26" t="s">
        <v>616</v>
      </c>
      <c r="C134" s="13"/>
      <c r="D134" s="14"/>
      <c r="E134" s="27" t="s">
        <v>617</v>
      </c>
      <c r="F134" s="15" t="s">
        <v>618</v>
      </c>
      <c r="G134" s="15" t="s">
        <v>27</v>
      </c>
      <c r="H134" s="16" t="s">
        <v>30</v>
      </c>
      <c r="I134" s="20" t="s">
        <v>84</v>
      </c>
      <c r="J134" s="18" t="s">
        <v>619</v>
      </c>
    </row>
    <row r="135" customFormat="false" ht="39.55" hidden="false" customHeight="false" outlineLevel="0" collapsed="false">
      <c r="B135" s="26" t="s">
        <v>620</v>
      </c>
      <c r="C135" s="13"/>
      <c r="D135" s="14"/>
      <c r="E135" s="27" t="s">
        <v>621</v>
      </c>
      <c r="F135" s="15" t="s">
        <v>622</v>
      </c>
      <c r="G135" s="15" t="s">
        <v>19</v>
      </c>
      <c r="H135" s="16" t="s">
        <v>30</v>
      </c>
      <c r="I135" s="20" t="s">
        <v>84</v>
      </c>
      <c r="J135" s="18" t="s">
        <v>623</v>
      </c>
    </row>
    <row r="136" customFormat="false" ht="26.85" hidden="false" customHeight="true" outlineLevel="0" collapsed="false">
      <c r="B136" s="26" t="s">
        <v>624</v>
      </c>
      <c r="C136" s="13"/>
      <c r="D136" s="14" t="s">
        <v>625</v>
      </c>
      <c r="E136" s="27" t="s">
        <v>626</v>
      </c>
      <c r="F136" s="15" t="s">
        <v>627</v>
      </c>
      <c r="G136" s="15" t="s">
        <v>165</v>
      </c>
      <c r="H136" s="16" t="s">
        <v>30</v>
      </c>
      <c r="I136" s="20" t="s">
        <v>84</v>
      </c>
      <c r="J136" s="18" t="s">
        <v>628</v>
      </c>
    </row>
    <row r="137" customFormat="false" ht="26.85" hidden="false" customHeight="false" outlineLevel="0" collapsed="false">
      <c r="B137" s="26" t="s">
        <v>629</v>
      </c>
      <c r="C137" s="13"/>
      <c r="D137" s="14"/>
      <c r="E137" s="27" t="s">
        <v>630</v>
      </c>
      <c r="F137" s="15" t="s">
        <v>631</v>
      </c>
      <c r="G137" s="15" t="s">
        <v>165</v>
      </c>
      <c r="H137" s="16" t="s">
        <v>30</v>
      </c>
      <c r="I137" s="20" t="s">
        <v>84</v>
      </c>
      <c r="J137" s="18" t="s">
        <v>632</v>
      </c>
    </row>
    <row r="138" customFormat="false" ht="39.55" hidden="false" customHeight="false" outlineLevel="0" collapsed="false">
      <c r="B138" s="26" t="s">
        <v>633</v>
      </c>
      <c r="C138" s="13"/>
      <c r="D138" s="14"/>
      <c r="E138" s="27" t="s">
        <v>634</v>
      </c>
      <c r="F138" s="15" t="s">
        <v>635</v>
      </c>
      <c r="G138" s="15" t="s">
        <v>27</v>
      </c>
      <c r="H138" s="24" t="s">
        <v>32</v>
      </c>
      <c r="I138" s="23" t="s">
        <v>94</v>
      </c>
      <c r="J138" s="18" t="s">
        <v>636</v>
      </c>
    </row>
    <row r="139" customFormat="false" ht="15" hidden="false" customHeight="true" outlineLevel="0" collapsed="false">
      <c r="B139" s="19" t="s">
        <v>637</v>
      </c>
      <c r="C139" s="13"/>
      <c r="D139" s="14" t="s">
        <v>638</v>
      </c>
      <c r="E139" s="15" t="s">
        <v>639</v>
      </c>
      <c r="F139" s="15" t="s">
        <v>640</v>
      </c>
      <c r="G139" s="15" t="s">
        <v>165</v>
      </c>
      <c r="H139" s="16" t="s">
        <v>30</v>
      </c>
      <c r="I139" s="17" t="s">
        <v>79</v>
      </c>
      <c r="J139" s="25" t="s">
        <v>641</v>
      </c>
    </row>
    <row r="140" customFormat="false" ht="15" hidden="false" customHeight="false" outlineLevel="0" collapsed="false">
      <c r="B140" s="19" t="s">
        <v>642</v>
      </c>
      <c r="C140" s="13"/>
      <c r="D140" s="14"/>
      <c r="E140" s="15" t="s">
        <v>643</v>
      </c>
      <c r="F140" s="15" t="s">
        <v>644</v>
      </c>
      <c r="G140" s="15" t="s">
        <v>165</v>
      </c>
      <c r="H140" s="24" t="s">
        <v>32</v>
      </c>
      <c r="I140" s="23" t="s">
        <v>94</v>
      </c>
      <c r="J140" s="25" t="s">
        <v>645</v>
      </c>
    </row>
    <row r="141" customFormat="false" ht="15" hidden="false" customHeight="false" outlineLevel="0" collapsed="false">
      <c r="B141" s="19" t="s">
        <v>646</v>
      </c>
      <c r="C141" s="13"/>
      <c r="D141" s="14"/>
      <c r="E141" s="15" t="s">
        <v>647</v>
      </c>
      <c r="F141" s="15" t="s">
        <v>648</v>
      </c>
      <c r="G141" s="15" t="s">
        <v>165</v>
      </c>
      <c r="H141" s="24" t="s">
        <v>32</v>
      </c>
      <c r="I141" s="20" t="s">
        <v>84</v>
      </c>
      <c r="J141" s="21" t="s">
        <v>649</v>
      </c>
    </row>
    <row r="142" customFormat="false" ht="15" hidden="false" customHeight="false" outlineLevel="0" collapsed="false">
      <c r="B142" s="19" t="s">
        <v>650</v>
      </c>
      <c r="C142" s="13"/>
      <c r="D142" s="14"/>
      <c r="E142" s="15" t="s">
        <v>651</v>
      </c>
      <c r="F142" s="15" t="s">
        <v>652</v>
      </c>
      <c r="G142" s="15" t="s">
        <v>19</v>
      </c>
      <c r="H142" s="24" t="s">
        <v>32</v>
      </c>
      <c r="I142" s="23" t="s">
        <v>94</v>
      </c>
      <c r="J142" s="21" t="s">
        <v>653</v>
      </c>
    </row>
    <row r="143" customFormat="false" ht="15" hidden="false" customHeight="false" outlineLevel="0" collapsed="false">
      <c r="B143" s="19" t="s">
        <v>654</v>
      </c>
      <c r="C143" s="13"/>
      <c r="D143" s="14" t="s">
        <v>655</v>
      </c>
      <c r="E143" s="15" t="s">
        <v>656</v>
      </c>
      <c r="F143" s="15" t="s">
        <v>657</v>
      </c>
      <c r="G143" s="15" t="s">
        <v>165</v>
      </c>
      <c r="H143" s="24" t="s">
        <v>32</v>
      </c>
      <c r="I143" s="20" t="s">
        <v>84</v>
      </c>
      <c r="J143" s="25" t="s">
        <v>658</v>
      </c>
    </row>
    <row r="144" customFormat="false" ht="26.85" hidden="false" customHeight="true" outlineLevel="0" collapsed="false">
      <c r="B144" s="26" t="s">
        <v>659</v>
      </c>
      <c r="C144" s="13"/>
      <c r="D144" s="14" t="s">
        <v>660</v>
      </c>
      <c r="E144" s="27" t="s">
        <v>661</v>
      </c>
      <c r="F144" s="15" t="s">
        <v>662</v>
      </c>
      <c r="G144" s="15" t="s">
        <v>165</v>
      </c>
      <c r="H144" s="16" t="s">
        <v>30</v>
      </c>
      <c r="I144" s="20" t="s">
        <v>84</v>
      </c>
      <c r="J144" s="18" t="s">
        <v>663</v>
      </c>
    </row>
    <row r="145" customFormat="false" ht="26.85" hidden="false" customHeight="false" outlineLevel="0" collapsed="false">
      <c r="B145" s="26" t="s">
        <v>664</v>
      </c>
      <c r="C145" s="13"/>
      <c r="D145" s="14"/>
      <c r="E145" s="27" t="s">
        <v>665</v>
      </c>
      <c r="F145" s="22" t="s">
        <v>666</v>
      </c>
      <c r="G145" s="15" t="s">
        <v>27</v>
      </c>
      <c r="H145" s="16" t="s">
        <v>30</v>
      </c>
      <c r="I145" s="20" t="s">
        <v>84</v>
      </c>
      <c r="J145" s="18" t="s">
        <v>667</v>
      </c>
    </row>
    <row r="146" customFormat="false" ht="15" hidden="false" customHeight="false" outlineLevel="0" collapsed="false">
      <c r="B146" s="19" t="s">
        <v>668</v>
      </c>
      <c r="C146" s="13"/>
      <c r="D146" s="14" t="s">
        <v>669</v>
      </c>
      <c r="E146" s="15" t="s">
        <v>670</v>
      </c>
      <c r="F146" s="15" t="s">
        <v>671</v>
      </c>
      <c r="G146" s="15" t="s">
        <v>27</v>
      </c>
      <c r="H146" s="16" t="s">
        <v>30</v>
      </c>
      <c r="I146" s="17" t="s">
        <v>79</v>
      </c>
      <c r="J146" s="21" t="s">
        <v>672</v>
      </c>
    </row>
    <row r="147" customFormat="false" ht="15" hidden="false" customHeight="true" outlineLevel="0" collapsed="false">
      <c r="B147" s="19" t="s">
        <v>673</v>
      </c>
      <c r="C147" s="13" t="s">
        <v>674</v>
      </c>
      <c r="D147" s="14" t="s">
        <v>675</v>
      </c>
      <c r="E147" s="15" t="s">
        <v>676</v>
      </c>
      <c r="F147" s="15" t="s">
        <v>677</v>
      </c>
      <c r="G147" s="15" t="s">
        <v>27</v>
      </c>
      <c r="H147" s="16" t="s">
        <v>30</v>
      </c>
      <c r="I147" s="20" t="s">
        <v>84</v>
      </c>
      <c r="J147" s="21" t="s">
        <v>678</v>
      </c>
    </row>
    <row r="148" customFormat="false" ht="15" hidden="false" customHeight="false" outlineLevel="0" collapsed="false">
      <c r="B148" s="19" t="s">
        <v>679</v>
      </c>
      <c r="C148" s="13"/>
      <c r="D148" s="14"/>
      <c r="E148" s="15" t="s">
        <v>680</v>
      </c>
      <c r="F148" s="15" t="s">
        <v>681</v>
      </c>
      <c r="G148" s="15" t="s">
        <v>27</v>
      </c>
      <c r="H148" s="16" t="s">
        <v>30</v>
      </c>
      <c r="I148" s="20" t="s">
        <v>84</v>
      </c>
      <c r="J148" s="21" t="s">
        <v>682</v>
      </c>
    </row>
    <row r="149" customFormat="false" ht="15" hidden="false" customHeight="false" outlineLevel="0" collapsed="false">
      <c r="B149" s="19" t="s">
        <v>683</v>
      </c>
      <c r="C149" s="13"/>
      <c r="D149" s="14" t="s">
        <v>684</v>
      </c>
      <c r="E149" s="15" t="s">
        <v>685</v>
      </c>
      <c r="F149" s="15" t="s">
        <v>686</v>
      </c>
      <c r="G149" s="15" t="s">
        <v>19</v>
      </c>
      <c r="H149" s="24" t="s">
        <v>32</v>
      </c>
      <c r="I149" s="20" t="s">
        <v>84</v>
      </c>
      <c r="J149" s="25" t="s">
        <v>687</v>
      </c>
    </row>
    <row r="150" customFormat="false" ht="15" hidden="false" customHeight="true" outlineLevel="0" collapsed="false">
      <c r="B150" s="19" t="s">
        <v>688</v>
      </c>
      <c r="C150" s="13"/>
      <c r="D150" s="14" t="s">
        <v>689</v>
      </c>
      <c r="E150" s="15" t="s">
        <v>690</v>
      </c>
      <c r="F150" s="15" t="s">
        <v>691</v>
      </c>
      <c r="G150" s="15" t="s">
        <v>19</v>
      </c>
      <c r="H150" s="24" t="s">
        <v>32</v>
      </c>
      <c r="I150" s="23" t="s">
        <v>94</v>
      </c>
      <c r="J150" s="25"/>
    </row>
    <row r="151" customFormat="false" ht="15" hidden="false" customHeight="false" outlineLevel="0" collapsed="false">
      <c r="B151" s="19" t="s">
        <v>692</v>
      </c>
      <c r="C151" s="13"/>
      <c r="D151" s="14"/>
      <c r="E151" s="15" t="s">
        <v>693</v>
      </c>
      <c r="F151" s="15" t="s">
        <v>694</v>
      </c>
      <c r="G151" s="15" t="s">
        <v>19</v>
      </c>
      <c r="H151" s="24" t="s">
        <v>32</v>
      </c>
      <c r="I151" s="20" t="s">
        <v>84</v>
      </c>
      <c r="J151" s="21" t="s">
        <v>695</v>
      </c>
    </row>
    <row r="152" customFormat="false" ht="15" hidden="false" customHeight="false" outlineLevel="0" collapsed="false">
      <c r="B152" s="19" t="s">
        <v>696</v>
      </c>
      <c r="C152" s="13"/>
      <c r="D152" s="14"/>
      <c r="E152" s="15" t="s">
        <v>697</v>
      </c>
      <c r="F152" s="15" t="s">
        <v>698</v>
      </c>
      <c r="G152" s="15" t="s">
        <v>165</v>
      </c>
      <c r="H152" s="28" t="s">
        <v>34</v>
      </c>
      <c r="I152" s="23" t="s">
        <v>94</v>
      </c>
      <c r="J152" s="25" t="s">
        <v>699</v>
      </c>
    </row>
    <row r="153" customFormat="false" ht="15" hidden="false" customHeight="false" outlineLevel="0" collapsed="false">
      <c r="B153" s="19" t="s">
        <v>700</v>
      </c>
      <c r="C153" s="13"/>
      <c r="D153" s="14"/>
      <c r="E153" s="15" t="s">
        <v>701</v>
      </c>
      <c r="F153" s="15" t="s">
        <v>702</v>
      </c>
      <c r="G153" s="15" t="s">
        <v>19</v>
      </c>
      <c r="H153" s="28" t="s">
        <v>34</v>
      </c>
      <c r="I153" s="23" t="s">
        <v>94</v>
      </c>
      <c r="J153" s="21" t="s">
        <v>703</v>
      </c>
    </row>
    <row r="154" customFormat="false" ht="15" hidden="false" customHeight="true" outlineLevel="0" collapsed="false">
      <c r="B154" s="19" t="s">
        <v>704</v>
      </c>
      <c r="C154" s="13" t="s">
        <v>705</v>
      </c>
      <c r="D154" s="14" t="s">
        <v>706</v>
      </c>
      <c r="E154" s="15" t="s">
        <v>707</v>
      </c>
      <c r="F154" s="15" t="s">
        <v>708</v>
      </c>
      <c r="G154" s="15" t="s">
        <v>19</v>
      </c>
      <c r="H154" s="16" t="s">
        <v>30</v>
      </c>
      <c r="I154" s="20" t="s">
        <v>84</v>
      </c>
      <c r="J154" s="25" t="s">
        <v>709</v>
      </c>
    </row>
    <row r="155" customFormat="false" ht="15" hidden="false" customHeight="false" outlineLevel="0" collapsed="false">
      <c r="B155" s="19" t="s">
        <v>710</v>
      </c>
      <c r="C155" s="13"/>
      <c r="D155" s="14"/>
      <c r="E155" s="15" t="s">
        <v>711</v>
      </c>
      <c r="F155" s="15" t="s">
        <v>712</v>
      </c>
      <c r="G155" s="15" t="s">
        <v>19</v>
      </c>
      <c r="H155" s="16" t="s">
        <v>30</v>
      </c>
      <c r="I155" s="20" t="s">
        <v>84</v>
      </c>
      <c r="J155" s="25"/>
    </row>
    <row r="156" customFormat="false" ht="15" hidden="false" customHeight="false" outlineLevel="0" collapsed="false">
      <c r="B156" s="19" t="s">
        <v>713</v>
      </c>
      <c r="C156" s="13"/>
      <c r="D156" s="14"/>
      <c r="E156" s="15" t="s">
        <v>714</v>
      </c>
      <c r="F156" s="15" t="s">
        <v>715</v>
      </c>
      <c r="G156" s="15" t="s">
        <v>19</v>
      </c>
      <c r="H156" s="24" t="s">
        <v>32</v>
      </c>
      <c r="I156" s="20" t="s">
        <v>84</v>
      </c>
      <c r="J156" s="25"/>
    </row>
    <row r="157" customFormat="false" ht="15" hidden="false" customHeight="false" outlineLevel="0" collapsed="false">
      <c r="B157" s="19" t="s">
        <v>716</v>
      </c>
      <c r="C157" s="13"/>
      <c r="D157" s="14"/>
      <c r="E157" s="15" t="s">
        <v>717</v>
      </c>
      <c r="F157" s="15" t="s">
        <v>718</v>
      </c>
      <c r="G157" s="15" t="s">
        <v>19</v>
      </c>
      <c r="H157" s="16" t="s">
        <v>30</v>
      </c>
      <c r="I157" s="20" t="s">
        <v>84</v>
      </c>
      <c r="J157" s="25"/>
    </row>
    <row r="158" customFormat="false" ht="15" hidden="false" customHeight="false" outlineLevel="0" collapsed="false">
      <c r="B158" s="19" t="s">
        <v>719</v>
      </c>
      <c r="C158" s="13"/>
      <c r="D158" s="14"/>
      <c r="E158" s="15" t="s">
        <v>720</v>
      </c>
      <c r="F158" s="15" t="s">
        <v>721</v>
      </c>
      <c r="G158" s="15" t="s">
        <v>19</v>
      </c>
      <c r="H158" s="24" t="s">
        <v>32</v>
      </c>
      <c r="I158" s="17" t="s">
        <v>79</v>
      </c>
      <c r="J158" s="25" t="s">
        <v>722</v>
      </c>
    </row>
    <row r="159" customFormat="false" ht="15" hidden="false" customHeight="false" outlineLevel="0" collapsed="false">
      <c r="B159" s="19" t="s">
        <v>723</v>
      </c>
      <c r="C159" s="13"/>
      <c r="D159" s="14"/>
      <c r="E159" s="15" t="s">
        <v>724</v>
      </c>
      <c r="F159" s="15" t="s">
        <v>725</v>
      </c>
      <c r="G159" s="15" t="s">
        <v>27</v>
      </c>
      <c r="H159" s="16" t="s">
        <v>30</v>
      </c>
      <c r="I159" s="17" t="s">
        <v>79</v>
      </c>
      <c r="J159" s="25" t="s">
        <v>726</v>
      </c>
    </row>
    <row r="160" customFormat="false" ht="15" hidden="false" customHeight="false" outlineLevel="0" collapsed="false">
      <c r="B160" s="19" t="s">
        <v>727</v>
      </c>
      <c r="C160" s="13"/>
      <c r="D160" s="14"/>
      <c r="E160" s="15" t="s">
        <v>728</v>
      </c>
      <c r="F160" s="15" t="s">
        <v>729</v>
      </c>
      <c r="G160" s="15" t="s">
        <v>27</v>
      </c>
      <c r="H160" s="16" t="s">
        <v>30</v>
      </c>
      <c r="I160" s="20" t="s">
        <v>84</v>
      </c>
      <c r="J160" s="25" t="s">
        <v>730</v>
      </c>
    </row>
    <row r="161" customFormat="false" ht="15" hidden="false" customHeight="false" outlineLevel="0" collapsed="false">
      <c r="B161" s="19" t="s">
        <v>731</v>
      </c>
      <c r="C161" s="13"/>
      <c r="D161" s="14"/>
      <c r="E161" s="15" t="s">
        <v>732</v>
      </c>
      <c r="F161" s="15" t="s">
        <v>733</v>
      </c>
      <c r="G161" s="15" t="s">
        <v>27</v>
      </c>
      <c r="H161" s="24" t="s">
        <v>32</v>
      </c>
      <c r="I161" s="20" t="s">
        <v>84</v>
      </c>
      <c r="J161" s="25" t="s">
        <v>734</v>
      </c>
    </row>
    <row r="162" customFormat="false" ht="15" hidden="false" customHeight="false" outlineLevel="0" collapsed="false">
      <c r="B162" s="19" t="s">
        <v>735</v>
      </c>
      <c r="C162" s="13"/>
      <c r="D162" s="14"/>
      <c r="E162" s="15" t="s">
        <v>736</v>
      </c>
      <c r="F162" s="15" t="s">
        <v>737</v>
      </c>
      <c r="G162" s="15" t="s">
        <v>27</v>
      </c>
      <c r="H162" s="24" t="s">
        <v>32</v>
      </c>
      <c r="I162" s="20" t="s">
        <v>84</v>
      </c>
      <c r="J162" s="25" t="s">
        <v>738</v>
      </c>
    </row>
    <row r="163" customFormat="false" ht="15" hidden="false" customHeight="true" outlineLevel="0" collapsed="false">
      <c r="B163" s="19" t="s">
        <v>739</v>
      </c>
      <c r="C163" s="13"/>
      <c r="D163" s="14" t="s">
        <v>740</v>
      </c>
      <c r="E163" s="15" t="s">
        <v>741</v>
      </c>
      <c r="F163" s="15" t="s">
        <v>742</v>
      </c>
      <c r="G163" s="15" t="s">
        <v>19</v>
      </c>
      <c r="H163" s="16" t="s">
        <v>30</v>
      </c>
      <c r="I163" s="23" t="s">
        <v>94</v>
      </c>
      <c r="J163" s="25"/>
    </row>
    <row r="164" customFormat="false" ht="26.85" hidden="false" customHeight="false" outlineLevel="0" collapsed="false">
      <c r="B164" s="29" t="s">
        <v>743</v>
      </c>
      <c r="C164" s="13"/>
      <c r="D164" s="14"/>
      <c r="E164" s="15" t="s">
        <v>744</v>
      </c>
      <c r="F164" s="15" t="s">
        <v>745</v>
      </c>
      <c r="G164" s="15" t="s">
        <v>19</v>
      </c>
      <c r="H164" s="16" t="s">
        <v>30</v>
      </c>
      <c r="I164" s="23" t="s">
        <v>94</v>
      </c>
      <c r="J164" s="18" t="s">
        <v>746</v>
      </c>
    </row>
    <row r="165" customFormat="false" ht="15" hidden="false" customHeight="false" outlineLevel="0" collapsed="false">
      <c r="B165" s="19" t="s">
        <v>747</v>
      </c>
      <c r="C165" s="13"/>
      <c r="D165" s="14"/>
      <c r="E165" s="15" t="s">
        <v>748</v>
      </c>
      <c r="F165" s="15" t="s">
        <v>749</v>
      </c>
      <c r="G165" s="15" t="s">
        <v>19</v>
      </c>
      <c r="H165" s="16" t="s">
        <v>30</v>
      </c>
      <c r="I165" s="23" t="s">
        <v>94</v>
      </c>
      <c r="J165" s="25"/>
    </row>
    <row r="166" customFormat="false" ht="15" hidden="false" customHeight="false" outlineLevel="0" collapsed="false">
      <c r="B166" s="19" t="s">
        <v>750</v>
      </c>
      <c r="C166" s="13"/>
      <c r="D166" s="14"/>
      <c r="E166" s="15" t="s">
        <v>751</v>
      </c>
      <c r="F166" s="22" t="s">
        <v>752</v>
      </c>
      <c r="G166" s="15" t="s">
        <v>27</v>
      </c>
      <c r="H166" s="28" t="s">
        <v>34</v>
      </c>
      <c r="I166" s="23" t="s">
        <v>94</v>
      </c>
      <c r="J166" s="25"/>
    </row>
    <row r="167" customFormat="false" ht="15" hidden="false" customHeight="true" outlineLevel="0" collapsed="false">
      <c r="B167" s="19" t="s">
        <v>753</v>
      </c>
      <c r="C167" s="13" t="s">
        <v>754</v>
      </c>
      <c r="D167" s="14" t="s">
        <v>755</v>
      </c>
      <c r="E167" s="15" t="s">
        <v>756</v>
      </c>
      <c r="F167" s="15" t="s">
        <v>757</v>
      </c>
      <c r="G167" s="15" t="s">
        <v>165</v>
      </c>
      <c r="H167" s="16" t="s">
        <v>30</v>
      </c>
      <c r="I167" s="20" t="s">
        <v>84</v>
      </c>
      <c r="J167" s="25" t="s">
        <v>758</v>
      </c>
    </row>
    <row r="168" customFormat="false" ht="15" hidden="false" customHeight="false" outlineLevel="0" collapsed="false">
      <c r="B168" s="19" t="s">
        <v>759</v>
      </c>
      <c r="C168" s="13"/>
      <c r="D168" s="14"/>
      <c r="E168" s="15" t="s">
        <v>760</v>
      </c>
      <c r="F168" s="15" t="s">
        <v>761</v>
      </c>
      <c r="G168" s="15" t="s">
        <v>165</v>
      </c>
      <c r="H168" s="16" t="s">
        <v>30</v>
      </c>
      <c r="I168" s="23" t="s">
        <v>94</v>
      </c>
      <c r="J168" s="25"/>
    </row>
    <row r="169" customFormat="false" ht="15" hidden="false" customHeight="false" outlineLevel="0" collapsed="false">
      <c r="B169" s="19" t="s">
        <v>762</v>
      </c>
      <c r="C169" s="13"/>
      <c r="D169" s="14"/>
      <c r="E169" s="15" t="s">
        <v>763</v>
      </c>
      <c r="F169" s="15" t="s">
        <v>764</v>
      </c>
      <c r="G169" s="15" t="s">
        <v>165</v>
      </c>
      <c r="H169" s="24" t="s">
        <v>32</v>
      </c>
      <c r="I169" s="20" t="s">
        <v>84</v>
      </c>
      <c r="J169" s="25"/>
    </row>
    <row r="170" customFormat="false" ht="15" hidden="false" customHeight="false" outlineLevel="0" collapsed="false">
      <c r="B170" s="19" t="s">
        <v>765</v>
      </c>
      <c r="C170" s="13"/>
      <c r="D170" s="14"/>
      <c r="E170" s="15" t="s">
        <v>766</v>
      </c>
      <c r="F170" s="15" t="s">
        <v>767</v>
      </c>
      <c r="G170" s="15" t="s">
        <v>165</v>
      </c>
      <c r="H170" s="24" t="s">
        <v>32</v>
      </c>
      <c r="I170" s="20" t="s">
        <v>84</v>
      </c>
      <c r="J170" s="25" t="s">
        <v>768</v>
      </c>
    </row>
    <row r="171" customFormat="false" ht="15" hidden="false" customHeight="false" outlineLevel="0" collapsed="false">
      <c r="B171" s="19" t="s">
        <v>769</v>
      </c>
      <c r="C171" s="13"/>
      <c r="D171" s="14"/>
      <c r="E171" s="15" t="s">
        <v>770</v>
      </c>
      <c r="F171" s="15" t="s">
        <v>771</v>
      </c>
      <c r="G171" s="15" t="s">
        <v>165</v>
      </c>
      <c r="H171" s="24" t="s">
        <v>32</v>
      </c>
      <c r="I171" s="20" t="s">
        <v>84</v>
      </c>
      <c r="J171" s="25" t="s">
        <v>772</v>
      </c>
    </row>
    <row r="172" customFormat="false" ht="15" hidden="false" customHeight="false" outlineLevel="0" collapsed="false">
      <c r="B172" s="19" t="s">
        <v>773</v>
      </c>
      <c r="C172" s="13"/>
      <c r="D172" s="14"/>
      <c r="E172" s="15" t="s">
        <v>774</v>
      </c>
      <c r="F172" s="15" t="s">
        <v>775</v>
      </c>
      <c r="G172" s="15" t="s">
        <v>27</v>
      </c>
      <c r="H172" s="16" t="s">
        <v>30</v>
      </c>
      <c r="I172" s="17" t="s">
        <v>79</v>
      </c>
      <c r="J172" s="21" t="s">
        <v>776</v>
      </c>
    </row>
    <row r="173" customFormat="false" ht="15" hidden="false" customHeight="false" outlineLevel="0" collapsed="false">
      <c r="B173" s="19" t="s">
        <v>777</v>
      </c>
      <c r="C173" s="13"/>
      <c r="D173" s="14"/>
      <c r="E173" s="15" t="s">
        <v>778</v>
      </c>
      <c r="F173" s="15" t="s">
        <v>779</v>
      </c>
      <c r="G173" s="15" t="s">
        <v>165</v>
      </c>
      <c r="H173" s="24" t="s">
        <v>32</v>
      </c>
      <c r="I173" s="20" t="s">
        <v>84</v>
      </c>
      <c r="J173" s="25" t="s">
        <v>780</v>
      </c>
    </row>
    <row r="174" customFormat="false" ht="15" hidden="false" customHeight="false" outlineLevel="0" collapsed="false">
      <c r="B174" s="19" t="s">
        <v>781</v>
      </c>
      <c r="C174" s="13"/>
      <c r="D174" s="14"/>
      <c r="E174" s="15" t="s">
        <v>782</v>
      </c>
      <c r="F174" s="15" t="s">
        <v>783</v>
      </c>
      <c r="G174" s="15" t="s">
        <v>27</v>
      </c>
      <c r="H174" s="16" t="s">
        <v>30</v>
      </c>
      <c r="I174" s="17" t="s">
        <v>79</v>
      </c>
      <c r="J174" s="25" t="s">
        <v>784</v>
      </c>
    </row>
    <row r="175" customFormat="false" ht="15" hidden="false" customHeight="false" outlineLevel="0" collapsed="false">
      <c r="B175" s="19" t="s">
        <v>785</v>
      </c>
      <c r="C175" s="13"/>
      <c r="D175" s="14"/>
      <c r="E175" s="15" t="s">
        <v>786</v>
      </c>
      <c r="F175" s="15" t="s">
        <v>787</v>
      </c>
      <c r="G175" s="15" t="s">
        <v>27</v>
      </c>
      <c r="H175" s="24" t="s">
        <v>32</v>
      </c>
      <c r="I175" s="23" t="s">
        <v>94</v>
      </c>
      <c r="J175" s="25"/>
    </row>
    <row r="176" customFormat="false" ht="15" hidden="false" customHeight="true" outlineLevel="0" collapsed="false">
      <c r="B176" s="19" t="s">
        <v>788</v>
      </c>
      <c r="C176" s="13"/>
      <c r="D176" s="14" t="s">
        <v>789</v>
      </c>
      <c r="E176" s="15" t="s">
        <v>790</v>
      </c>
      <c r="F176" s="15" t="s">
        <v>791</v>
      </c>
      <c r="G176" s="15" t="s">
        <v>165</v>
      </c>
      <c r="H176" s="16" t="s">
        <v>30</v>
      </c>
      <c r="I176" s="20" t="s">
        <v>84</v>
      </c>
      <c r="J176" s="25" t="s">
        <v>792</v>
      </c>
    </row>
    <row r="177" customFormat="false" ht="22.35" hidden="false" customHeight="false" outlineLevel="0" collapsed="false">
      <c r="B177" s="19" t="s">
        <v>793</v>
      </c>
      <c r="C177" s="13"/>
      <c r="D177" s="14"/>
      <c r="E177" s="15" t="s">
        <v>794</v>
      </c>
      <c r="F177" s="15" t="s">
        <v>795</v>
      </c>
      <c r="G177" s="15" t="s">
        <v>27</v>
      </c>
      <c r="H177" s="24" t="s">
        <v>32</v>
      </c>
      <c r="I177" s="23" t="s">
        <v>94</v>
      </c>
      <c r="J177" s="21" t="s">
        <v>796</v>
      </c>
    </row>
    <row r="178" customFormat="false" ht="15" hidden="false" customHeight="false" outlineLevel="0" collapsed="false">
      <c r="B178" s="19" t="s">
        <v>797</v>
      </c>
      <c r="C178" s="13"/>
      <c r="D178" s="14"/>
      <c r="E178" s="15" t="s">
        <v>798</v>
      </c>
      <c r="F178" s="15" t="s">
        <v>799</v>
      </c>
      <c r="G178" s="15" t="s">
        <v>27</v>
      </c>
      <c r="H178" s="16" t="s">
        <v>30</v>
      </c>
      <c r="I178" s="20" t="s">
        <v>84</v>
      </c>
      <c r="J178" s="25" t="s">
        <v>800</v>
      </c>
    </row>
    <row r="179" customFormat="false" ht="15" hidden="false" customHeight="true" outlineLevel="0" collapsed="false">
      <c r="B179" s="19" t="s">
        <v>801</v>
      </c>
      <c r="C179" s="13" t="s">
        <v>802</v>
      </c>
      <c r="D179" s="14" t="s">
        <v>803</v>
      </c>
      <c r="E179" s="15" t="s">
        <v>803</v>
      </c>
      <c r="F179" s="15" t="s">
        <v>804</v>
      </c>
      <c r="G179" s="15" t="s">
        <v>165</v>
      </c>
      <c r="H179" s="24" t="s">
        <v>32</v>
      </c>
      <c r="I179" s="17" t="s">
        <v>79</v>
      </c>
      <c r="J179" s="25"/>
    </row>
    <row r="180" customFormat="false" ht="26.85" hidden="false" customHeight="false" outlineLevel="0" collapsed="false">
      <c r="B180" s="29" t="s">
        <v>805</v>
      </c>
      <c r="C180" s="13"/>
      <c r="D180" s="14"/>
      <c r="E180" s="15" t="s">
        <v>806</v>
      </c>
      <c r="F180" s="15" t="s">
        <v>807</v>
      </c>
      <c r="G180" s="15" t="s">
        <v>165</v>
      </c>
      <c r="H180" s="24" t="s">
        <v>32</v>
      </c>
      <c r="I180" s="23" t="s">
        <v>94</v>
      </c>
      <c r="J180" s="18" t="s">
        <v>808</v>
      </c>
    </row>
    <row r="181" customFormat="false" ht="15" hidden="false" customHeight="false" outlineLevel="0" collapsed="false">
      <c r="B181" s="19" t="s">
        <v>809</v>
      </c>
      <c r="C181" s="13"/>
      <c r="D181" s="14"/>
      <c r="E181" s="15" t="s">
        <v>810</v>
      </c>
      <c r="F181" s="15" t="s">
        <v>811</v>
      </c>
      <c r="G181" s="15" t="s">
        <v>165</v>
      </c>
      <c r="H181" s="16" t="s">
        <v>30</v>
      </c>
      <c r="I181" s="20" t="s">
        <v>84</v>
      </c>
      <c r="J181" s="25" t="s">
        <v>812</v>
      </c>
    </row>
    <row r="182" customFormat="false" ht="15" hidden="false" customHeight="false" outlineLevel="0" collapsed="false">
      <c r="B182" s="19" t="s">
        <v>813</v>
      </c>
      <c r="C182" s="13"/>
      <c r="D182" s="14"/>
      <c r="E182" s="15" t="s">
        <v>814</v>
      </c>
      <c r="F182" s="15" t="s">
        <v>815</v>
      </c>
      <c r="G182" s="15" t="s">
        <v>165</v>
      </c>
      <c r="H182" s="24" t="s">
        <v>32</v>
      </c>
      <c r="I182" s="20" t="s">
        <v>84</v>
      </c>
      <c r="J182" s="25"/>
    </row>
    <row r="183" customFormat="false" ht="15" hidden="false" customHeight="false" outlineLevel="0" collapsed="false">
      <c r="B183" s="19" t="s">
        <v>816</v>
      </c>
      <c r="C183" s="13"/>
      <c r="D183" s="14"/>
      <c r="E183" s="15" t="s">
        <v>817</v>
      </c>
      <c r="F183" s="15" t="s">
        <v>818</v>
      </c>
      <c r="G183" s="15" t="s">
        <v>165</v>
      </c>
      <c r="H183" s="24" t="s">
        <v>32</v>
      </c>
      <c r="I183" s="23" t="s">
        <v>94</v>
      </c>
      <c r="J183" s="25"/>
    </row>
    <row r="184" customFormat="false" ht="15" hidden="false" customHeight="true" outlineLevel="0" collapsed="false">
      <c r="B184" s="19" t="s">
        <v>819</v>
      </c>
      <c r="C184" s="13"/>
      <c r="D184" s="14" t="s">
        <v>820</v>
      </c>
      <c r="E184" s="15" t="s">
        <v>821</v>
      </c>
      <c r="F184" s="15" t="s">
        <v>822</v>
      </c>
      <c r="G184" s="15" t="s">
        <v>165</v>
      </c>
      <c r="H184" s="28" t="s">
        <v>34</v>
      </c>
      <c r="I184" s="23" t="s">
        <v>94</v>
      </c>
      <c r="J184" s="25"/>
    </row>
    <row r="185" customFormat="false" ht="15" hidden="false" customHeight="false" outlineLevel="0" collapsed="false">
      <c r="B185" s="19" t="s">
        <v>823</v>
      </c>
      <c r="C185" s="13"/>
      <c r="D185" s="14"/>
      <c r="E185" s="15" t="s">
        <v>824</v>
      </c>
      <c r="F185" s="15" t="s">
        <v>825</v>
      </c>
      <c r="G185" s="15" t="s">
        <v>19</v>
      </c>
      <c r="H185" s="28" t="s">
        <v>34</v>
      </c>
      <c r="I185" s="23" t="s">
        <v>94</v>
      </c>
      <c r="J185" s="21" t="s">
        <v>826</v>
      </c>
    </row>
    <row r="186" customFormat="false" ht="15" hidden="false" customHeight="true" outlineLevel="0" collapsed="false">
      <c r="B186" s="19" t="s">
        <v>827</v>
      </c>
      <c r="C186" s="13" t="s">
        <v>828</v>
      </c>
      <c r="D186" s="14" t="s">
        <v>829</v>
      </c>
      <c r="E186" s="15" t="s">
        <v>830</v>
      </c>
      <c r="F186" s="15" t="s">
        <v>831</v>
      </c>
      <c r="G186" s="15" t="s">
        <v>27</v>
      </c>
      <c r="H186" s="16" t="s">
        <v>30</v>
      </c>
      <c r="I186" s="23" t="s">
        <v>94</v>
      </c>
      <c r="J186" s="25"/>
    </row>
    <row r="187" customFormat="false" ht="15" hidden="false" customHeight="false" outlineLevel="0" collapsed="false">
      <c r="B187" s="19" t="s">
        <v>832</v>
      </c>
      <c r="C187" s="13"/>
      <c r="D187" s="14"/>
      <c r="E187" s="15" t="s">
        <v>833</v>
      </c>
      <c r="F187" s="15" t="s">
        <v>834</v>
      </c>
      <c r="G187" s="15" t="s">
        <v>27</v>
      </c>
      <c r="H187" s="16" t="s">
        <v>30</v>
      </c>
      <c r="I187" s="20" t="s">
        <v>84</v>
      </c>
      <c r="J187" s="25" t="s">
        <v>835</v>
      </c>
    </row>
    <row r="188" customFormat="false" ht="15" hidden="false" customHeight="false" outlineLevel="0" collapsed="false">
      <c r="B188" s="19" t="s">
        <v>836</v>
      </c>
      <c r="C188" s="13"/>
      <c r="D188" s="14"/>
      <c r="E188" s="15" t="s">
        <v>837</v>
      </c>
      <c r="F188" s="15" t="s">
        <v>838</v>
      </c>
      <c r="G188" s="15" t="s">
        <v>27</v>
      </c>
      <c r="H188" s="16" t="s">
        <v>30</v>
      </c>
      <c r="I188" s="23" t="s">
        <v>94</v>
      </c>
      <c r="J188" s="25" t="s">
        <v>839</v>
      </c>
    </row>
    <row r="189" customFormat="false" ht="15" hidden="false" customHeight="true" outlineLevel="0" collapsed="false">
      <c r="B189" s="19" t="s">
        <v>840</v>
      </c>
      <c r="C189" s="13"/>
      <c r="D189" s="14" t="s">
        <v>841</v>
      </c>
      <c r="E189" s="15" t="s">
        <v>842</v>
      </c>
      <c r="F189" s="15" t="s">
        <v>843</v>
      </c>
      <c r="G189" s="15" t="s">
        <v>27</v>
      </c>
      <c r="H189" s="16" t="s">
        <v>30</v>
      </c>
      <c r="I189" s="20" t="s">
        <v>84</v>
      </c>
      <c r="J189" s="25" t="s">
        <v>844</v>
      </c>
    </row>
    <row r="190" customFormat="false" ht="15" hidden="false" customHeight="false" outlineLevel="0" collapsed="false">
      <c r="B190" s="19" t="s">
        <v>845</v>
      </c>
      <c r="C190" s="13"/>
      <c r="D190" s="14"/>
      <c r="E190" s="15" t="s">
        <v>846</v>
      </c>
      <c r="F190" s="15" t="s">
        <v>847</v>
      </c>
      <c r="G190" s="15" t="s">
        <v>27</v>
      </c>
      <c r="H190" s="24" t="s">
        <v>32</v>
      </c>
      <c r="I190" s="20" t="s">
        <v>84</v>
      </c>
      <c r="J190" s="25" t="s">
        <v>848</v>
      </c>
    </row>
    <row r="191" customFormat="false" ht="15" hidden="false" customHeight="true" outlineLevel="0" collapsed="false">
      <c r="B191" s="19" t="s">
        <v>849</v>
      </c>
      <c r="C191" s="13"/>
      <c r="D191" s="14" t="s">
        <v>850</v>
      </c>
      <c r="E191" s="22" t="s">
        <v>851</v>
      </c>
      <c r="F191" s="15" t="s">
        <v>852</v>
      </c>
      <c r="G191" s="15" t="s">
        <v>25</v>
      </c>
      <c r="H191" s="16" t="s">
        <v>30</v>
      </c>
      <c r="I191" s="23" t="s">
        <v>94</v>
      </c>
      <c r="J191" s="21" t="s">
        <v>853</v>
      </c>
    </row>
    <row r="192" customFormat="false" ht="15" hidden="false" customHeight="false" outlineLevel="0" collapsed="false">
      <c r="B192" s="19" t="s">
        <v>854</v>
      </c>
      <c r="C192" s="13"/>
      <c r="D192" s="14"/>
      <c r="E192" s="22" t="s">
        <v>855</v>
      </c>
      <c r="F192" s="15" t="s">
        <v>856</v>
      </c>
      <c r="G192" s="15" t="s">
        <v>27</v>
      </c>
      <c r="H192" s="16" t="s">
        <v>30</v>
      </c>
      <c r="I192" s="23" t="s">
        <v>94</v>
      </c>
      <c r="J192" s="25"/>
    </row>
    <row r="193" customFormat="false" ht="15" hidden="false" customHeight="false" outlineLevel="0" collapsed="false">
      <c r="B193" s="19" t="s">
        <v>857</v>
      </c>
      <c r="C193" s="13"/>
      <c r="D193" s="14"/>
      <c r="E193" s="15" t="s">
        <v>858</v>
      </c>
      <c r="F193" s="15" t="s">
        <v>859</v>
      </c>
      <c r="G193" s="15" t="s">
        <v>25</v>
      </c>
      <c r="H193" s="24" t="s">
        <v>32</v>
      </c>
      <c r="I193" s="23" t="s">
        <v>94</v>
      </c>
      <c r="J193" s="25" t="s">
        <v>860</v>
      </c>
    </row>
    <row r="194" customFormat="false" ht="15" hidden="false" customHeight="false" outlineLevel="0" collapsed="false">
      <c r="B194" s="19" t="s">
        <v>861</v>
      </c>
      <c r="C194" s="13"/>
      <c r="D194" s="14"/>
      <c r="E194" s="15" t="s">
        <v>862</v>
      </c>
      <c r="F194" s="15" t="s">
        <v>863</v>
      </c>
      <c r="G194" s="15" t="s">
        <v>27</v>
      </c>
      <c r="H194" s="24" t="s">
        <v>32</v>
      </c>
      <c r="I194" s="23" t="s">
        <v>94</v>
      </c>
      <c r="J194" s="25"/>
    </row>
    <row r="195" customFormat="false" ht="26.85" hidden="false" customHeight="true" outlineLevel="0" collapsed="false">
      <c r="B195" s="26" t="s">
        <v>864</v>
      </c>
      <c r="C195" s="13" t="s">
        <v>865</v>
      </c>
      <c r="D195" s="14" t="s">
        <v>866</v>
      </c>
      <c r="E195" s="27" t="s">
        <v>867</v>
      </c>
      <c r="F195" s="15" t="s">
        <v>868</v>
      </c>
      <c r="G195" s="15" t="s">
        <v>27</v>
      </c>
      <c r="H195" s="16" t="s">
        <v>30</v>
      </c>
      <c r="I195" s="17" t="s">
        <v>79</v>
      </c>
      <c r="J195" s="18" t="s">
        <v>869</v>
      </c>
    </row>
    <row r="196" customFormat="false" ht="26.85" hidden="false" customHeight="false" outlineLevel="0" collapsed="false">
      <c r="B196" s="26" t="s">
        <v>870</v>
      </c>
      <c r="C196" s="13"/>
      <c r="D196" s="14"/>
      <c r="E196" s="27" t="s">
        <v>871</v>
      </c>
      <c r="F196" s="15" t="s">
        <v>872</v>
      </c>
      <c r="G196" s="15" t="s">
        <v>27</v>
      </c>
      <c r="H196" s="16" t="s">
        <v>30</v>
      </c>
      <c r="I196" s="20" t="s">
        <v>84</v>
      </c>
      <c r="J196" s="18" t="s">
        <v>873</v>
      </c>
    </row>
    <row r="197" customFormat="false" ht="15" hidden="false" customHeight="true" outlineLevel="0" collapsed="false">
      <c r="B197" s="26" t="s">
        <v>874</v>
      </c>
      <c r="C197" s="13"/>
      <c r="D197" s="14" t="s">
        <v>875</v>
      </c>
      <c r="E197" s="27" t="s">
        <v>876</v>
      </c>
      <c r="F197" s="15" t="s">
        <v>877</v>
      </c>
      <c r="G197" s="15" t="s">
        <v>165</v>
      </c>
      <c r="H197" s="16" t="s">
        <v>30</v>
      </c>
      <c r="I197" s="20" t="s">
        <v>84</v>
      </c>
      <c r="J197" s="18" t="s">
        <v>878</v>
      </c>
    </row>
    <row r="198" customFormat="false" ht="15" hidden="false" customHeight="false" outlineLevel="0" collapsed="false">
      <c r="B198" s="26" t="s">
        <v>879</v>
      </c>
      <c r="C198" s="13"/>
      <c r="D198" s="14"/>
      <c r="E198" s="27" t="s">
        <v>880</v>
      </c>
      <c r="F198" s="15" t="s">
        <v>881</v>
      </c>
      <c r="G198" s="15" t="s">
        <v>165</v>
      </c>
      <c r="H198" s="16" t="s">
        <v>30</v>
      </c>
      <c r="I198" s="23" t="s">
        <v>94</v>
      </c>
      <c r="J198" s="18" t="s">
        <v>878</v>
      </c>
    </row>
    <row r="199" customFormat="false" ht="15" hidden="false" customHeight="false" outlineLevel="0" collapsed="false">
      <c r="B199" s="26" t="s">
        <v>882</v>
      </c>
      <c r="C199" s="13"/>
      <c r="D199" s="14"/>
      <c r="E199" s="27" t="s">
        <v>883</v>
      </c>
      <c r="F199" s="15" t="s">
        <v>884</v>
      </c>
      <c r="G199" s="15" t="s">
        <v>165</v>
      </c>
      <c r="H199" s="16" t="s">
        <v>30</v>
      </c>
      <c r="I199" s="20" t="s">
        <v>84</v>
      </c>
      <c r="J199" s="18" t="s">
        <v>878</v>
      </c>
    </row>
    <row r="200" customFormat="false" ht="26.85" hidden="false" customHeight="false" outlineLevel="0" collapsed="false">
      <c r="B200" s="26" t="s">
        <v>885</v>
      </c>
      <c r="C200" s="13"/>
      <c r="D200" s="14"/>
      <c r="E200" s="27" t="s">
        <v>886</v>
      </c>
      <c r="F200" s="15" t="s">
        <v>887</v>
      </c>
      <c r="G200" s="15" t="s">
        <v>165</v>
      </c>
      <c r="H200" s="24" t="s">
        <v>32</v>
      </c>
      <c r="I200" s="20" t="s">
        <v>84</v>
      </c>
      <c r="J200" s="18" t="s">
        <v>888</v>
      </c>
    </row>
    <row r="201" customFormat="false" ht="15" hidden="false" customHeight="true" outlineLevel="0" collapsed="false">
      <c r="B201" s="26" t="s">
        <v>889</v>
      </c>
      <c r="C201" s="13"/>
      <c r="D201" s="14" t="s">
        <v>890</v>
      </c>
      <c r="E201" s="27" t="s">
        <v>891</v>
      </c>
      <c r="F201" s="15" t="s">
        <v>892</v>
      </c>
      <c r="G201" s="15" t="s">
        <v>165</v>
      </c>
      <c r="H201" s="24" t="s">
        <v>32</v>
      </c>
      <c r="I201" s="20" t="s">
        <v>84</v>
      </c>
      <c r="J201" s="18" t="s">
        <v>893</v>
      </c>
    </row>
    <row r="202" customFormat="false" ht="26.85" hidden="false" customHeight="false" outlineLevel="0" collapsed="false">
      <c r="B202" s="26" t="s">
        <v>894</v>
      </c>
      <c r="C202" s="13"/>
      <c r="D202" s="14"/>
      <c r="E202" s="27" t="s">
        <v>895</v>
      </c>
      <c r="F202" s="15" t="s">
        <v>896</v>
      </c>
      <c r="G202" s="15" t="s">
        <v>19</v>
      </c>
      <c r="H202" s="28" t="s">
        <v>34</v>
      </c>
      <c r="I202" s="17" t="s">
        <v>79</v>
      </c>
      <c r="J202" s="18" t="s">
        <v>897</v>
      </c>
    </row>
    <row r="203" customFormat="false" ht="15" hidden="false" customHeight="false" outlineLevel="0" collapsed="false">
      <c r="B203" s="26" t="s">
        <v>898</v>
      </c>
      <c r="C203" s="13"/>
      <c r="D203" s="14" t="s">
        <v>850</v>
      </c>
      <c r="E203" s="27" t="s">
        <v>899</v>
      </c>
      <c r="F203" s="15" t="s">
        <v>900</v>
      </c>
      <c r="G203" s="15" t="s">
        <v>25</v>
      </c>
      <c r="H203" s="28" t="s">
        <v>34</v>
      </c>
      <c r="I203" s="20" t="s">
        <v>84</v>
      </c>
      <c r="J203" s="18" t="s">
        <v>878</v>
      </c>
    </row>
  </sheetData>
  <autoFilter ref="B2:J203"/>
  <mergeCells count="62">
    <mergeCell ref="B1:B2"/>
    <mergeCell ref="C1:E1"/>
    <mergeCell ref="F1:F2"/>
    <mergeCell ref="G1:G2"/>
    <mergeCell ref="H1:H2"/>
    <mergeCell ref="I1:I2"/>
    <mergeCell ref="J1:J2"/>
    <mergeCell ref="C3:C20"/>
    <mergeCell ref="D3:D5"/>
    <mergeCell ref="D6:D10"/>
    <mergeCell ref="D11:D13"/>
    <mergeCell ref="D14:D20"/>
    <mergeCell ref="C21:C39"/>
    <mergeCell ref="D21:D24"/>
    <mergeCell ref="D27:D33"/>
    <mergeCell ref="D35:D37"/>
    <mergeCell ref="D38:D39"/>
    <mergeCell ref="C40:C47"/>
    <mergeCell ref="D40:D44"/>
    <mergeCell ref="D45:D46"/>
    <mergeCell ref="C48:C63"/>
    <mergeCell ref="D48:D53"/>
    <mergeCell ref="D54:D57"/>
    <mergeCell ref="D58:D63"/>
    <mergeCell ref="C64:C101"/>
    <mergeCell ref="D64:D72"/>
    <mergeCell ref="D73:D78"/>
    <mergeCell ref="D79:D82"/>
    <mergeCell ref="D83:D92"/>
    <mergeCell ref="D93:D96"/>
    <mergeCell ref="D97:D99"/>
    <mergeCell ref="D100:D101"/>
    <mergeCell ref="C102:C123"/>
    <mergeCell ref="D102:D106"/>
    <mergeCell ref="D107:D112"/>
    <mergeCell ref="D113:D115"/>
    <mergeCell ref="D116:D123"/>
    <mergeCell ref="C124:C146"/>
    <mergeCell ref="D124:D135"/>
    <mergeCell ref="D136:D138"/>
    <mergeCell ref="D139:D142"/>
    <mergeCell ref="D144:D145"/>
    <mergeCell ref="C147:C153"/>
    <mergeCell ref="D147:D148"/>
    <mergeCell ref="D150:D153"/>
    <mergeCell ref="C154:C166"/>
    <mergeCell ref="D154:D162"/>
    <mergeCell ref="D163:D166"/>
    <mergeCell ref="C167:C178"/>
    <mergeCell ref="D167:D175"/>
    <mergeCell ref="D176:D178"/>
    <mergeCell ref="C179:C185"/>
    <mergeCell ref="D179:D183"/>
    <mergeCell ref="D184:D185"/>
    <mergeCell ref="C186:C194"/>
    <mergeCell ref="D186:D188"/>
    <mergeCell ref="D189:D190"/>
    <mergeCell ref="D191:D194"/>
    <mergeCell ref="C195:C203"/>
    <mergeCell ref="D195:D196"/>
    <mergeCell ref="D197:D200"/>
    <mergeCell ref="D201:D202"/>
  </mergeCells>
  <dataValidations count="3">
    <dataValidation allowBlank="true" errorStyle="stop" operator="between" showDropDown="false" showErrorMessage="false" showInputMessage="false" sqref="G3:G253" type="list">
      <formula1>"회원,비회원,회원·비회원,관리자,시스템"</formula1>
      <formula2>0</formula2>
    </dataValidation>
    <dataValidation allowBlank="true" errorStyle="stop" operator="between" showDropDown="false" showErrorMessage="false" showInputMessage="false" sqref="H3:H253" type="list">
      <formula1>"Must,Should,Could"</formula1>
      <formula2>0</formula2>
    </dataValidation>
    <dataValidation allowBlank="true" errorStyle="stop" operator="between" showDropDown="false" showErrorMessage="false" showInputMessage="false" sqref="I3:I253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52"/>
    <col collapsed="false" customWidth="true" hidden="false" outlineLevel="0" max="5" min="5" style="0" width="34"/>
    <col collapsed="false" customWidth="true" hidden="false" outlineLevel="0" max="6" min="6" style="0" width="56"/>
  </cols>
  <sheetData>
    <row r="1" customFormat="false" ht="24" hidden="false" customHeight="true" outlineLevel="0" collapsed="false">
      <c r="A1" s="30" t="s">
        <v>901</v>
      </c>
      <c r="B1" s="30" t="s">
        <v>902</v>
      </c>
      <c r="C1" s="30" t="s">
        <v>903</v>
      </c>
      <c r="D1" s="30" t="s">
        <v>3</v>
      </c>
      <c r="E1" s="30" t="s">
        <v>904</v>
      </c>
      <c r="F1" s="30" t="s">
        <v>905</v>
      </c>
    </row>
    <row r="2" customFormat="false" ht="67.5" hidden="false" customHeight="true" outlineLevel="0" collapsed="false">
      <c r="A2" s="31" t="s">
        <v>906</v>
      </c>
      <c r="B2" s="32" t="s">
        <v>907</v>
      </c>
      <c r="C2" s="15" t="s">
        <v>908</v>
      </c>
      <c r="D2" s="33" t="s">
        <v>909</v>
      </c>
      <c r="E2" s="33" t="s">
        <v>910</v>
      </c>
      <c r="F2" s="34" t="s">
        <v>911</v>
      </c>
    </row>
    <row r="3" customFormat="false" ht="33.75" hidden="false" customHeight="true" outlineLevel="0" collapsed="false">
      <c r="A3" s="31"/>
      <c r="B3" s="32"/>
      <c r="C3" s="15" t="s">
        <v>912</v>
      </c>
      <c r="D3" s="33" t="s">
        <v>913</v>
      </c>
      <c r="E3" s="35" t="s">
        <v>914</v>
      </c>
      <c r="F3" s="36"/>
    </row>
    <row r="4" customFormat="false" ht="37.5" hidden="false" customHeight="true" outlineLevel="0" collapsed="false">
      <c r="A4" s="31"/>
      <c r="B4" s="32" t="s">
        <v>915</v>
      </c>
      <c r="C4" s="15" t="s">
        <v>916</v>
      </c>
      <c r="D4" s="33" t="s">
        <v>917</v>
      </c>
      <c r="E4" s="33" t="s">
        <v>918</v>
      </c>
      <c r="F4" s="36" t="s">
        <v>919</v>
      </c>
    </row>
    <row r="5" customFormat="false" ht="37.5" hidden="false" customHeight="true" outlineLevel="0" collapsed="false">
      <c r="A5" s="31"/>
      <c r="B5" s="32"/>
      <c r="C5" s="15" t="s">
        <v>920</v>
      </c>
      <c r="D5" s="33" t="s">
        <v>921</v>
      </c>
      <c r="E5" s="35" t="s">
        <v>914</v>
      </c>
      <c r="F5" s="37" t="s">
        <v>922</v>
      </c>
    </row>
    <row r="6" customFormat="false" ht="37.5" hidden="false" customHeight="true" outlineLevel="0" collapsed="false">
      <c r="A6" s="31"/>
      <c r="B6" s="32" t="s">
        <v>923</v>
      </c>
      <c r="C6" s="15" t="s">
        <v>924</v>
      </c>
      <c r="D6" s="33" t="s">
        <v>925</v>
      </c>
      <c r="E6" s="33" t="s">
        <v>926</v>
      </c>
      <c r="F6" s="37" t="s">
        <v>927</v>
      </c>
    </row>
    <row r="7" customFormat="false" ht="67.5" hidden="false" customHeight="true" outlineLevel="0" collapsed="false">
      <c r="A7" s="31"/>
      <c r="B7" s="32"/>
      <c r="C7" s="15" t="s">
        <v>626</v>
      </c>
      <c r="D7" s="33" t="s">
        <v>928</v>
      </c>
      <c r="E7" s="35" t="s">
        <v>914</v>
      </c>
      <c r="F7" s="34" t="s">
        <v>929</v>
      </c>
    </row>
    <row r="8" customFormat="false" ht="37.5" hidden="false" customHeight="true" outlineLevel="0" collapsed="false">
      <c r="A8" s="31"/>
      <c r="B8" s="32" t="s">
        <v>930</v>
      </c>
      <c r="C8" s="15" t="s">
        <v>931</v>
      </c>
      <c r="D8" s="33" t="s">
        <v>932</v>
      </c>
      <c r="E8" s="33" t="s">
        <v>933</v>
      </c>
      <c r="F8" s="37"/>
    </row>
    <row r="9" customFormat="false" ht="33.75" hidden="false" customHeight="true" outlineLevel="0" collapsed="false">
      <c r="A9" s="31"/>
      <c r="B9" s="32" t="s">
        <v>934</v>
      </c>
      <c r="C9" s="15" t="s">
        <v>935</v>
      </c>
      <c r="D9" s="33" t="s">
        <v>936</v>
      </c>
      <c r="E9" s="33" t="s">
        <v>937</v>
      </c>
      <c r="F9" s="37" t="s">
        <v>938</v>
      </c>
    </row>
    <row r="10" customFormat="false" ht="37.5" hidden="false" customHeight="true" outlineLevel="0" collapsed="false">
      <c r="A10" s="31"/>
      <c r="B10" s="32" t="s">
        <v>939</v>
      </c>
      <c r="C10" s="15" t="s">
        <v>940</v>
      </c>
      <c r="D10" s="33" t="s">
        <v>941</v>
      </c>
      <c r="E10" s="35" t="s">
        <v>942</v>
      </c>
      <c r="F10" s="37"/>
    </row>
    <row r="11" customFormat="false" ht="52.5" hidden="false" customHeight="true" outlineLevel="0" collapsed="false">
      <c r="A11" s="31" t="s">
        <v>943</v>
      </c>
      <c r="B11" s="32" t="s">
        <v>944</v>
      </c>
      <c r="C11" s="15" t="s">
        <v>803</v>
      </c>
      <c r="D11" s="33" t="s">
        <v>945</v>
      </c>
      <c r="E11" s="33" t="s">
        <v>946</v>
      </c>
      <c r="F11" s="36" t="s">
        <v>947</v>
      </c>
    </row>
    <row r="12" customFormat="false" ht="33.75" hidden="false" customHeight="true" outlineLevel="0" collapsed="false">
      <c r="A12" s="31"/>
      <c r="B12" s="32"/>
      <c r="C12" s="15" t="s">
        <v>948</v>
      </c>
      <c r="D12" s="33" t="s">
        <v>949</v>
      </c>
      <c r="E12" s="33" t="s">
        <v>950</v>
      </c>
      <c r="F12" s="37"/>
    </row>
    <row r="13" customFormat="false" ht="67.5" hidden="false" customHeight="true" outlineLevel="0" collapsed="false">
      <c r="A13" s="31"/>
      <c r="B13" s="32" t="s">
        <v>951</v>
      </c>
      <c r="C13" s="15" t="s">
        <v>952</v>
      </c>
      <c r="D13" s="33" t="s">
        <v>953</v>
      </c>
      <c r="E13" s="33" t="s">
        <v>950</v>
      </c>
      <c r="F13" s="34" t="s">
        <v>954</v>
      </c>
    </row>
    <row r="14" customFormat="false" ht="37.5" hidden="false" customHeight="true" outlineLevel="0" collapsed="false">
      <c r="A14" s="31"/>
      <c r="B14" s="31"/>
      <c r="C14" s="15" t="s">
        <v>955</v>
      </c>
      <c r="D14" s="33" t="s">
        <v>956</v>
      </c>
      <c r="E14" s="33" t="s">
        <v>957</v>
      </c>
      <c r="F14" s="37" t="s">
        <v>958</v>
      </c>
    </row>
    <row r="15" customFormat="false" ht="37.5" hidden="false" customHeight="true" outlineLevel="0" collapsed="false">
      <c r="A15" s="31"/>
      <c r="B15" s="32"/>
      <c r="C15" s="15" t="s">
        <v>755</v>
      </c>
      <c r="D15" s="33" t="s">
        <v>959</v>
      </c>
      <c r="E15" s="33" t="s">
        <v>957</v>
      </c>
      <c r="F15" s="37" t="s">
        <v>960</v>
      </c>
    </row>
    <row r="16" customFormat="false" ht="37.5" hidden="false" customHeight="true" outlineLevel="0" collapsed="false">
      <c r="A16" s="31"/>
      <c r="B16" s="32" t="s">
        <v>961</v>
      </c>
      <c r="C16" s="15" t="s">
        <v>962</v>
      </c>
      <c r="D16" s="33" t="s">
        <v>963</v>
      </c>
      <c r="E16" s="33" t="s">
        <v>950</v>
      </c>
      <c r="F16" s="36" t="s">
        <v>964</v>
      </c>
    </row>
    <row r="17" customFormat="false" ht="37.5" hidden="false" customHeight="true" outlineLevel="0" collapsed="false">
      <c r="A17" s="31" t="s">
        <v>965</v>
      </c>
      <c r="B17" s="32" t="s">
        <v>966</v>
      </c>
      <c r="C17" s="15" t="s">
        <v>967</v>
      </c>
      <c r="D17" s="33" t="s">
        <v>968</v>
      </c>
      <c r="E17" s="33" t="s">
        <v>969</v>
      </c>
      <c r="F17" s="36" t="s">
        <v>970</v>
      </c>
    </row>
    <row r="18" customFormat="false" ht="52.5" hidden="false" customHeight="true" outlineLevel="0" collapsed="false">
      <c r="A18" s="31"/>
      <c r="B18" s="32" t="s">
        <v>971</v>
      </c>
      <c r="C18" s="15" t="s">
        <v>972</v>
      </c>
      <c r="D18" s="33" t="s">
        <v>973</v>
      </c>
      <c r="E18" s="33" t="s">
        <v>974</v>
      </c>
      <c r="F18" s="34" t="s">
        <v>975</v>
      </c>
    </row>
    <row r="19" customFormat="false" ht="37.5" hidden="false" customHeight="true" outlineLevel="0" collapsed="false">
      <c r="A19" s="31"/>
      <c r="B19" s="32" t="s">
        <v>976</v>
      </c>
      <c r="C19" s="15" t="s">
        <v>977</v>
      </c>
      <c r="D19" s="33" t="s">
        <v>978</v>
      </c>
      <c r="E19" s="33" t="s">
        <v>979</v>
      </c>
      <c r="F19" s="37" t="s">
        <v>980</v>
      </c>
    </row>
    <row r="20" customFormat="false" ht="67.5" hidden="false" customHeight="true" outlineLevel="0" collapsed="false">
      <c r="A20" s="31"/>
      <c r="B20" s="32"/>
      <c r="C20" s="15" t="s">
        <v>981</v>
      </c>
      <c r="D20" s="33" t="s">
        <v>982</v>
      </c>
      <c r="E20" s="33" t="s">
        <v>979</v>
      </c>
      <c r="F20" s="34" t="s">
        <v>983</v>
      </c>
    </row>
    <row r="21" customFormat="false" ht="52.5" hidden="false" customHeight="true" outlineLevel="0" collapsed="false">
      <c r="A21" s="31"/>
      <c r="B21" s="32" t="s">
        <v>984</v>
      </c>
      <c r="C21" s="15" t="s">
        <v>985</v>
      </c>
      <c r="D21" s="33" t="s">
        <v>986</v>
      </c>
      <c r="E21" s="33" t="s">
        <v>987</v>
      </c>
      <c r="F21" s="37" t="s">
        <v>988</v>
      </c>
    </row>
    <row r="22" customFormat="false" ht="82.5" hidden="false" customHeight="true" outlineLevel="0" collapsed="false">
      <c r="A22" s="31"/>
      <c r="B22" s="31"/>
      <c r="C22" s="15" t="s">
        <v>989</v>
      </c>
      <c r="D22" s="33" t="s">
        <v>990</v>
      </c>
      <c r="E22" s="35" t="s">
        <v>914</v>
      </c>
      <c r="F22" s="37" t="s">
        <v>991</v>
      </c>
    </row>
    <row r="23" customFormat="false" ht="33.75" hidden="false" customHeight="true" outlineLevel="0" collapsed="false">
      <c r="A23" s="31"/>
      <c r="B23" s="31"/>
      <c r="C23" s="15" t="s">
        <v>992</v>
      </c>
      <c r="D23" s="33" t="s">
        <v>993</v>
      </c>
      <c r="E23" s="35" t="s">
        <v>914</v>
      </c>
      <c r="F23" s="37" t="s">
        <v>994</v>
      </c>
    </row>
    <row r="24" customFormat="false" ht="37.5" hidden="false" customHeight="true" outlineLevel="0" collapsed="false">
      <c r="A24" s="31"/>
      <c r="B24" s="32"/>
      <c r="C24" s="15" t="s">
        <v>995</v>
      </c>
      <c r="D24" s="33" t="s">
        <v>996</v>
      </c>
      <c r="E24" s="33" t="s">
        <v>997</v>
      </c>
      <c r="F24" s="37" t="s">
        <v>998</v>
      </c>
    </row>
    <row r="25" customFormat="false" ht="52.5" hidden="false" customHeight="true" outlineLevel="0" collapsed="false">
      <c r="A25" s="31"/>
      <c r="B25" s="32" t="s">
        <v>999</v>
      </c>
      <c r="C25" s="15" t="s">
        <v>1000</v>
      </c>
      <c r="D25" s="33" t="s">
        <v>1001</v>
      </c>
      <c r="E25" s="33" t="s">
        <v>1002</v>
      </c>
      <c r="F25" s="34" t="s">
        <v>1003</v>
      </c>
    </row>
    <row r="26" customFormat="false" ht="37.5" hidden="false" customHeight="true" outlineLevel="0" collapsed="false">
      <c r="A26" s="31"/>
      <c r="B26" s="32" t="s">
        <v>1004</v>
      </c>
      <c r="C26" s="15" t="s">
        <v>1005</v>
      </c>
      <c r="D26" s="33" t="s">
        <v>1006</v>
      </c>
      <c r="E26" s="33" t="s">
        <v>1007</v>
      </c>
      <c r="F26" s="37" t="s">
        <v>1008</v>
      </c>
    </row>
    <row r="27" customFormat="false" ht="37.5" hidden="false" customHeight="true" outlineLevel="0" collapsed="false">
      <c r="A27" s="31"/>
      <c r="B27" s="31"/>
      <c r="C27" s="15" t="s">
        <v>1009</v>
      </c>
      <c r="D27" s="33" t="s">
        <v>1010</v>
      </c>
      <c r="E27" s="33" t="s">
        <v>1011</v>
      </c>
      <c r="F27" s="37" t="s">
        <v>1012</v>
      </c>
    </row>
    <row r="28" customFormat="false" ht="37.5" hidden="false" customHeight="true" outlineLevel="0" collapsed="false">
      <c r="A28" s="31" t="s">
        <v>1013</v>
      </c>
      <c r="B28" s="32" t="s">
        <v>1014</v>
      </c>
      <c r="C28" s="15" t="s">
        <v>1015</v>
      </c>
      <c r="D28" s="33" t="s">
        <v>1016</v>
      </c>
      <c r="E28" s="33" t="s">
        <v>1017</v>
      </c>
      <c r="F28" s="36" t="s">
        <v>1018</v>
      </c>
    </row>
    <row r="29" customFormat="false" ht="33.75" hidden="false" customHeight="true" outlineLevel="0" collapsed="false">
      <c r="A29" s="31"/>
      <c r="B29" s="32"/>
      <c r="C29" s="15" t="s">
        <v>1019</v>
      </c>
      <c r="D29" s="33" t="s">
        <v>1020</v>
      </c>
      <c r="E29" s="33" t="s">
        <v>1017</v>
      </c>
      <c r="F29" s="37"/>
    </row>
    <row r="30" customFormat="false" ht="33.75" hidden="false" customHeight="true" outlineLevel="0" collapsed="false">
      <c r="A30" s="31"/>
      <c r="B30" s="32" t="s">
        <v>1021</v>
      </c>
      <c r="C30" s="15" t="s">
        <v>1022</v>
      </c>
      <c r="D30" s="33" t="s">
        <v>1023</v>
      </c>
      <c r="E30" s="33" t="s">
        <v>1017</v>
      </c>
      <c r="F30" s="37" t="s">
        <v>1024</v>
      </c>
    </row>
    <row r="31" customFormat="false" ht="33.75" hidden="false" customHeight="true" outlineLevel="0" collapsed="false">
      <c r="A31" s="31"/>
      <c r="B31" s="32" t="s">
        <v>1025</v>
      </c>
      <c r="C31" s="15" t="s">
        <v>1026</v>
      </c>
      <c r="D31" s="33" t="s">
        <v>1027</v>
      </c>
      <c r="E31" s="33" t="s">
        <v>1028</v>
      </c>
      <c r="F31" s="37"/>
    </row>
    <row r="32" customFormat="false" ht="33.75" hidden="false" customHeight="true" outlineLevel="0" collapsed="false">
      <c r="A32" s="31"/>
      <c r="B32" s="31"/>
      <c r="C32" s="15" t="s">
        <v>1029</v>
      </c>
      <c r="D32" s="33" t="s">
        <v>1030</v>
      </c>
      <c r="E32" s="33" t="s">
        <v>950</v>
      </c>
      <c r="F32" s="37" t="s">
        <v>1031</v>
      </c>
    </row>
    <row r="33" customFormat="false" ht="52.5" hidden="false" customHeight="true" outlineLevel="0" collapsed="false">
      <c r="A33" s="31"/>
      <c r="B33" s="31"/>
      <c r="C33" s="15" t="s">
        <v>1032</v>
      </c>
      <c r="D33" s="33" t="s">
        <v>1033</v>
      </c>
      <c r="E33" s="33" t="s">
        <v>1034</v>
      </c>
      <c r="F33" s="34" t="s">
        <v>1035</v>
      </c>
    </row>
    <row r="34" customFormat="false" ht="52.5" hidden="false" customHeight="true" outlineLevel="0" collapsed="false">
      <c r="A34" s="31" t="s">
        <v>1036</v>
      </c>
      <c r="B34" s="32" t="s">
        <v>1037</v>
      </c>
      <c r="C34" s="15" t="s">
        <v>1038</v>
      </c>
      <c r="D34" s="33" t="s">
        <v>1039</v>
      </c>
      <c r="E34" s="33" t="s">
        <v>1040</v>
      </c>
      <c r="F34" s="34" t="s">
        <v>1041</v>
      </c>
    </row>
    <row r="35" customFormat="false" ht="37.5" hidden="false" customHeight="true" outlineLevel="0" collapsed="false">
      <c r="A35" s="31"/>
      <c r="B35" s="31"/>
      <c r="C35" s="15" t="s">
        <v>1042</v>
      </c>
      <c r="D35" s="33" t="s">
        <v>1043</v>
      </c>
      <c r="E35" s="35" t="s">
        <v>1044</v>
      </c>
      <c r="F35" s="37" t="s">
        <v>1045</v>
      </c>
    </row>
    <row r="36" customFormat="false" ht="33.75" hidden="false" customHeight="true" outlineLevel="0" collapsed="false">
      <c r="A36" s="31"/>
      <c r="B36" s="32"/>
      <c r="C36" s="15" t="s">
        <v>1046</v>
      </c>
      <c r="D36" s="33" t="s">
        <v>1047</v>
      </c>
      <c r="E36" s="33" t="s">
        <v>1048</v>
      </c>
      <c r="F36" s="37" t="s">
        <v>1049</v>
      </c>
    </row>
    <row r="37" customFormat="false" ht="67.5" hidden="false" customHeight="true" outlineLevel="0" collapsed="false">
      <c r="A37" s="31"/>
      <c r="B37" s="32" t="s">
        <v>1050</v>
      </c>
      <c r="C37" s="15" t="s">
        <v>1051</v>
      </c>
      <c r="D37" s="33" t="s">
        <v>1052</v>
      </c>
      <c r="E37" s="33" t="s">
        <v>950</v>
      </c>
      <c r="F37" s="34" t="s">
        <v>1053</v>
      </c>
    </row>
    <row r="38" customFormat="false" ht="37.5" hidden="false" customHeight="true" outlineLevel="0" collapsed="false">
      <c r="A38" s="31"/>
      <c r="B38" s="32" t="s">
        <v>1054</v>
      </c>
      <c r="C38" s="15" t="s">
        <v>1055</v>
      </c>
      <c r="D38" s="33" t="s">
        <v>1056</v>
      </c>
      <c r="E38" s="33" t="s">
        <v>957</v>
      </c>
      <c r="F38" s="36" t="s">
        <v>1057</v>
      </c>
    </row>
    <row r="39" customFormat="false" ht="33.75" hidden="false" customHeight="true" outlineLevel="0" collapsed="false">
      <c r="A39" s="31"/>
      <c r="B39" s="32" t="s">
        <v>1058</v>
      </c>
      <c r="C39" s="15" t="s">
        <v>1059</v>
      </c>
      <c r="D39" s="33" t="s">
        <v>1060</v>
      </c>
      <c r="E39" s="33" t="s">
        <v>1061</v>
      </c>
      <c r="F39" s="37"/>
    </row>
    <row r="40" customFormat="false" ht="33.75" hidden="false" customHeight="true" outlineLevel="0" collapsed="false">
      <c r="A40" s="31"/>
      <c r="B40" s="32" t="s">
        <v>1062</v>
      </c>
      <c r="C40" s="15" t="s">
        <v>160</v>
      </c>
      <c r="D40" s="33" t="s">
        <v>1063</v>
      </c>
      <c r="E40" s="35" t="s">
        <v>1064</v>
      </c>
      <c r="F40" s="37"/>
    </row>
    <row r="41" customFormat="false" ht="33.75" hidden="false" customHeight="true" outlineLevel="0" collapsed="false">
      <c r="A41" s="31"/>
      <c r="B41" s="31"/>
      <c r="C41" s="15" t="s">
        <v>211</v>
      </c>
      <c r="D41" s="33" t="s">
        <v>1065</v>
      </c>
      <c r="E41" s="35" t="s">
        <v>914</v>
      </c>
      <c r="F41" s="37"/>
    </row>
    <row r="42" customFormat="false" ht="33.75" hidden="false" customHeight="true" outlineLevel="0" collapsed="false">
      <c r="A42" s="31"/>
      <c r="B42" s="31"/>
      <c r="C42" s="15" t="s">
        <v>146</v>
      </c>
      <c r="D42" s="33" t="s">
        <v>1066</v>
      </c>
      <c r="E42" s="35" t="s">
        <v>1067</v>
      </c>
      <c r="F42" s="37" t="s">
        <v>1068</v>
      </c>
    </row>
    <row r="43" customFormat="false" ht="33.75" hidden="false" customHeight="true" outlineLevel="0" collapsed="false">
      <c r="A43" s="31"/>
      <c r="B43" s="32"/>
      <c r="C43" s="15" t="s">
        <v>92</v>
      </c>
      <c r="D43" s="33" t="s">
        <v>1069</v>
      </c>
      <c r="E43" s="33" t="s">
        <v>1070</v>
      </c>
      <c r="F43" s="37"/>
    </row>
    <row r="44" customFormat="false" ht="33.75" hidden="false" customHeight="true" outlineLevel="0" collapsed="false">
      <c r="A44" s="31"/>
      <c r="B44" s="32" t="s">
        <v>1071</v>
      </c>
      <c r="C44" s="15" t="s">
        <v>1072</v>
      </c>
      <c r="D44" s="33" t="s">
        <v>1073</v>
      </c>
      <c r="E44" s="33" t="s">
        <v>1074</v>
      </c>
      <c r="F44" s="37" t="s">
        <v>1075</v>
      </c>
    </row>
    <row r="45" customFormat="false" ht="52.5" hidden="false" customHeight="true" outlineLevel="0" collapsed="false">
      <c r="A45" s="31"/>
      <c r="B45" s="31"/>
      <c r="C45" s="15" t="s">
        <v>191</v>
      </c>
      <c r="D45" s="33" t="s">
        <v>1076</v>
      </c>
      <c r="E45" s="33" t="s">
        <v>1077</v>
      </c>
      <c r="F45" s="34" t="s">
        <v>1078</v>
      </c>
    </row>
    <row r="46" customFormat="false" ht="37.5" hidden="false" customHeight="true" outlineLevel="0" collapsed="false">
      <c r="A46" s="31"/>
      <c r="B46" s="31"/>
      <c r="C46" s="15" t="s">
        <v>1079</v>
      </c>
      <c r="D46" s="33" t="s">
        <v>1080</v>
      </c>
      <c r="E46" s="33" t="s">
        <v>1070</v>
      </c>
      <c r="F46" s="37" t="s">
        <v>1081</v>
      </c>
    </row>
    <row r="47" customFormat="false" ht="33.75" hidden="false" customHeight="true" outlineLevel="0" collapsed="false">
      <c r="A47" s="31" t="s">
        <v>1082</v>
      </c>
      <c r="B47" s="32" t="s">
        <v>1083</v>
      </c>
      <c r="C47" s="15" t="s">
        <v>1084</v>
      </c>
      <c r="D47" s="33" t="s">
        <v>1085</v>
      </c>
      <c r="E47" s="33" t="s">
        <v>950</v>
      </c>
      <c r="F47" s="37" t="s">
        <v>1086</v>
      </c>
    </row>
    <row r="48" customFormat="false" ht="33.75" hidden="false" customHeight="true" outlineLevel="0" collapsed="false">
      <c r="A48" s="31"/>
      <c r="B48" s="32" t="s">
        <v>1087</v>
      </c>
      <c r="C48" s="15" t="s">
        <v>1088</v>
      </c>
      <c r="D48" s="33" t="s">
        <v>1089</v>
      </c>
      <c r="E48" s="33" t="s">
        <v>950</v>
      </c>
      <c r="F48" s="37" t="s">
        <v>1090</v>
      </c>
    </row>
    <row r="49" customFormat="false" ht="33.75" hidden="false" customHeight="true" outlineLevel="0" collapsed="false">
      <c r="A49" s="31"/>
      <c r="B49" s="31"/>
      <c r="C49" s="15" t="s">
        <v>1091</v>
      </c>
      <c r="D49" s="33" t="s">
        <v>1092</v>
      </c>
      <c r="E49" s="35" t="s">
        <v>1093</v>
      </c>
      <c r="F49" s="37" t="s">
        <v>1094</v>
      </c>
    </row>
    <row r="50" customFormat="false" ht="82.5" hidden="false" customHeight="true" outlineLevel="0" collapsed="false">
      <c r="A50" s="31"/>
      <c r="B50" s="32"/>
      <c r="C50" s="15" t="s">
        <v>1095</v>
      </c>
      <c r="D50" s="33" t="s">
        <v>1096</v>
      </c>
      <c r="E50" s="33" t="s">
        <v>950</v>
      </c>
      <c r="F50" s="36" t="s">
        <v>1097</v>
      </c>
    </row>
    <row r="51" customFormat="false" ht="37.5" hidden="false" customHeight="true" outlineLevel="0" collapsed="false">
      <c r="A51" s="31"/>
      <c r="B51" s="32" t="s">
        <v>1098</v>
      </c>
      <c r="C51" s="15" t="s">
        <v>1099</v>
      </c>
      <c r="D51" s="33" t="s">
        <v>1100</v>
      </c>
      <c r="E51" s="33" t="s">
        <v>1101</v>
      </c>
      <c r="F51" s="37" t="s">
        <v>1102</v>
      </c>
    </row>
    <row r="52" customFormat="false" ht="33.75" hidden="false" customHeight="true" outlineLevel="0" collapsed="false">
      <c r="A52" s="31"/>
      <c r="B52" s="31"/>
      <c r="C52" s="15" t="s">
        <v>1103</v>
      </c>
      <c r="D52" s="33" t="s">
        <v>1104</v>
      </c>
      <c r="E52" s="33" t="s">
        <v>950</v>
      </c>
      <c r="F52" s="37"/>
    </row>
    <row r="53" customFormat="false" ht="52.5" hidden="false" customHeight="true" outlineLevel="0" collapsed="false">
      <c r="A53" s="31" t="s">
        <v>1105</v>
      </c>
      <c r="B53" s="32" t="s">
        <v>1106</v>
      </c>
      <c r="C53" s="15" t="s">
        <v>1107</v>
      </c>
      <c r="D53" s="33" t="s">
        <v>1108</v>
      </c>
      <c r="E53" s="33" t="s">
        <v>1109</v>
      </c>
      <c r="F53" s="37"/>
    </row>
    <row r="54" customFormat="false" ht="33.75" hidden="false" customHeight="true" outlineLevel="0" collapsed="false">
      <c r="A54" s="31"/>
      <c r="B54" s="31"/>
      <c r="C54" s="15" t="s">
        <v>1110</v>
      </c>
      <c r="D54" s="33" t="s">
        <v>1111</v>
      </c>
      <c r="E54" s="35" t="s">
        <v>1112</v>
      </c>
      <c r="F54" s="37" t="s">
        <v>1113</v>
      </c>
    </row>
    <row r="55" customFormat="false" ht="33.75" hidden="false" customHeight="true" outlineLevel="0" collapsed="false">
      <c r="A55" s="31"/>
      <c r="B55" s="32"/>
      <c r="C55" s="15" t="s">
        <v>1114</v>
      </c>
      <c r="D55" s="33" t="s">
        <v>1115</v>
      </c>
      <c r="E55" s="33" t="s">
        <v>1116</v>
      </c>
      <c r="F55" s="37" t="s">
        <v>1117</v>
      </c>
    </row>
    <row r="56" customFormat="false" ht="37.5" hidden="false" customHeight="true" outlineLevel="0" collapsed="false">
      <c r="A56" s="31"/>
      <c r="B56" s="32" t="s">
        <v>1118</v>
      </c>
      <c r="C56" s="15" t="s">
        <v>1119</v>
      </c>
      <c r="D56" s="33" t="s">
        <v>1120</v>
      </c>
      <c r="E56" s="33" t="s">
        <v>1121</v>
      </c>
      <c r="F56" s="37" t="s">
        <v>1122</v>
      </c>
    </row>
    <row r="57" customFormat="false" ht="52.5" hidden="false" customHeight="true" outlineLevel="0" collapsed="false">
      <c r="A57" s="31" t="s">
        <v>1123</v>
      </c>
      <c r="B57" s="32" t="s">
        <v>1124</v>
      </c>
      <c r="C57" s="15" t="s">
        <v>1125</v>
      </c>
      <c r="D57" s="33" t="s">
        <v>1126</v>
      </c>
      <c r="E57" s="33" t="s">
        <v>1127</v>
      </c>
      <c r="F57" s="37" t="s">
        <v>1128</v>
      </c>
    </row>
    <row r="58" customFormat="false" ht="37.5" hidden="false" customHeight="true" outlineLevel="0" collapsed="false">
      <c r="A58" s="31"/>
      <c r="B58" s="32" t="s">
        <v>1129</v>
      </c>
      <c r="C58" s="15" t="s">
        <v>1130</v>
      </c>
      <c r="D58" s="33" t="s">
        <v>1131</v>
      </c>
      <c r="E58" s="33" t="s">
        <v>950</v>
      </c>
      <c r="F58" s="37"/>
    </row>
    <row r="59" customFormat="false" ht="37.5" hidden="false" customHeight="true" outlineLevel="0" collapsed="false">
      <c r="A59" s="31"/>
      <c r="B59" s="32" t="s">
        <v>1132</v>
      </c>
      <c r="C59" s="15" t="s">
        <v>1133</v>
      </c>
      <c r="D59" s="33" t="s">
        <v>1134</v>
      </c>
      <c r="E59" s="33" t="s">
        <v>1135</v>
      </c>
      <c r="F59" s="37" t="s">
        <v>1136</v>
      </c>
    </row>
    <row r="60" customFormat="false" ht="37.5" hidden="false" customHeight="true" outlineLevel="0" collapsed="false">
      <c r="A60" s="31"/>
      <c r="B60" s="32" t="s">
        <v>1137</v>
      </c>
      <c r="C60" s="15" t="s">
        <v>1138</v>
      </c>
      <c r="D60" s="33" t="s">
        <v>1139</v>
      </c>
      <c r="E60" s="33" t="s">
        <v>1140</v>
      </c>
      <c r="F60" s="34" t="s">
        <v>1141</v>
      </c>
    </row>
    <row r="61" customFormat="false" ht="37.5" hidden="false" customHeight="true" outlineLevel="0" collapsed="false">
      <c r="A61" s="31" t="s">
        <v>1142</v>
      </c>
      <c r="B61" s="32" t="s">
        <v>1143</v>
      </c>
      <c r="C61" s="15" t="s">
        <v>1144</v>
      </c>
      <c r="D61" s="33" t="s">
        <v>1145</v>
      </c>
      <c r="E61" s="33" t="s">
        <v>1146</v>
      </c>
      <c r="F61" s="37"/>
    </row>
    <row r="62" customFormat="false" ht="37.5" hidden="false" customHeight="true" outlineLevel="0" collapsed="false">
      <c r="A62" s="31"/>
      <c r="B62" s="32"/>
      <c r="C62" s="15" t="s">
        <v>1147</v>
      </c>
      <c r="D62" s="33" t="s">
        <v>1148</v>
      </c>
      <c r="E62" s="35" t="s">
        <v>1112</v>
      </c>
      <c r="F62" s="37" t="s">
        <v>1149</v>
      </c>
    </row>
    <row r="63" customFormat="false" ht="33.75" hidden="false" customHeight="true" outlineLevel="0" collapsed="false">
      <c r="A63" s="31"/>
      <c r="B63" s="32" t="s">
        <v>1150</v>
      </c>
      <c r="C63" s="15" t="s">
        <v>1151</v>
      </c>
      <c r="D63" s="33" t="s">
        <v>1152</v>
      </c>
      <c r="E63" s="33" t="s">
        <v>1153</v>
      </c>
      <c r="F63" s="37"/>
    </row>
    <row r="64" customFormat="false" ht="33.75" hidden="false" customHeight="true" outlineLevel="0" collapsed="false">
      <c r="A64" s="31"/>
      <c r="B64" s="32" t="s">
        <v>1154</v>
      </c>
      <c r="C64" s="15" t="s">
        <v>1155</v>
      </c>
      <c r="D64" s="33" t="s">
        <v>1156</v>
      </c>
      <c r="E64" s="33" t="s">
        <v>1153</v>
      </c>
      <c r="F64" s="37"/>
    </row>
    <row r="65" customFormat="false" ht="33.75" hidden="false" customHeight="true" outlineLevel="0" collapsed="false">
      <c r="A65" s="31"/>
      <c r="B65" s="32" t="s">
        <v>1157</v>
      </c>
      <c r="C65" s="15" t="s">
        <v>1158</v>
      </c>
      <c r="D65" s="33" t="s">
        <v>1159</v>
      </c>
      <c r="E65" s="33" t="s">
        <v>1153</v>
      </c>
      <c r="F65" s="37" t="s">
        <v>1160</v>
      </c>
    </row>
    <row r="66" customFormat="false" ht="37.5" hidden="false" customHeight="true" outlineLevel="0" collapsed="false">
      <c r="A66" s="31" t="s">
        <v>1161</v>
      </c>
      <c r="B66" s="32" t="s">
        <v>1162</v>
      </c>
      <c r="C66" s="15" t="s">
        <v>1163</v>
      </c>
      <c r="D66" s="33" t="s">
        <v>1164</v>
      </c>
      <c r="E66" s="33" t="s">
        <v>1165</v>
      </c>
      <c r="F66" s="37" t="s">
        <v>1166</v>
      </c>
    </row>
    <row r="67" customFormat="false" ht="33.75" hidden="false" customHeight="true" outlineLevel="0" collapsed="false">
      <c r="A67" s="31"/>
      <c r="B67" s="32" t="s">
        <v>1167</v>
      </c>
      <c r="C67" s="15" t="s">
        <v>1168</v>
      </c>
      <c r="D67" s="33" t="s">
        <v>1169</v>
      </c>
      <c r="E67" s="33" t="s">
        <v>1170</v>
      </c>
      <c r="F67" s="37" t="s">
        <v>1171</v>
      </c>
    </row>
    <row r="68" customFormat="false" ht="37.5" hidden="false" customHeight="true" outlineLevel="0" collapsed="false">
      <c r="A68" s="31" t="s">
        <v>1172</v>
      </c>
      <c r="B68" s="32" t="s">
        <v>1173</v>
      </c>
      <c r="C68" s="15" t="s">
        <v>1174</v>
      </c>
      <c r="D68" s="33" t="s">
        <v>1175</v>
      </c>
      <c r="E68" s="33" t="s">
        <v>1176</v>
      </c>
      <c r="F68" s="37" t="s">
        <v>1177</v>
      </c>
    </row>
    <row r="69" customFormat="false" ht="37.5" hidden="false" customHeight="true" outlineLevel="0" collapsed="false">
      <c r="A69" s="31"/>
      <c r="B69" s="31"/>
      <c r="C69" s="15" t="s">
        <v>1178</v>
      </c>
      <c r="D69" s="33" t="s">
        <v>1179</v>
      </c>
      <c r="E69" s="33" t="s">
        <v>1180</v>
      </c>
      <c r="F69" s="36" t="s">
        <v>1181</v>
      </c>
    </row>
    <row r="70" customFormat="false" ht="37.5" hidden="false" customHeight="true" outlineLevel="0" collapsed="false">
      <c r="A70" s="31"/>
      <c r="B70" s="32"/>
      <c r="C70" s="15" t="s">
        <v>1182</v>
      </c>
      <c r="D70" s="33" t="s">
        <v>1183</v>
      </c>
      <c r="E70" s="33" t="s">
        <v>1184</v>
      </c>
      <c r="F70" s="37" t="s">
        <v>1185</v>
      </c>
    </row>
    <row r="71" customFormat="false" ht="67.5" hidden="false" customHeight="true" outlineLevel="0" collapsed="false">
      <c r="A71" s="31"/>
      <c r="B71" s="32" t="s">
        <v>1186</v>
      </c>
      <c r="C71" s="15" t="s">
        <v>1187</v>
      </c>
      <c r="D71" s="33" t="s">
        <v>1188</v>
      </c>
      <c r="E71" s="33" t="s">
        <v>1189</v>
      </c>
      <c r="F71" s="34" t="s">
        <v>1190</v>
      </c>
    </row>
    <row r="72" customFormat="false" ht="33.75" hidden="false" customHeight="true" outlineLevel="0" collapsed="false">
      <c r="A72" s="31"/>
      <c r="B72" s="32"/>
      <c r="C72" s="15" t="s">
        <v>1191</v>
      </c>
      <c r="D72" s="33" t="s">
        <v>1192</v>
      </c>
      <c r="E72" s="35" t="s">
        <v>914</v>
      </c>
      <c r="F72" s="37" t="s">
        <v>1193</v>
      </c>
    </row>
    <row r="73" customFormat="false" ht="37.5" hidden="false" customHeight="true" outlineLevel="0" collapsed="false">
      <c r="A73" s="31"/>
      <c r="B73" s="32" t="s">
        <v>1194</v>
      </c>
      <c r="C73" s="15" t="s">
        <v>1195</v>
      </c>
      <c r="D73" s="33" t="s">
        <v>1196</v>
      </c>
      <c r="E73" s="33" t="s">
        <v>1197</v>
      </c>
      <c r="F73" s="37" t="s">
        <v>1198</v>
      </c>
    </row>
    <row r="74" customFormat="false" ht="37.5" hidden="false" customHeight="true" outlineLevel="0" collapsed="false">
      <c r="A74" s="31"/>
      <c r="B74" s="32" t="s">
        <v>1199</v>
      </c>
      <c r="C74" s="15" t="s">
        <v>203</v>
      </c>
      <c r="D74" s="33" t="s">
        <v>1200</v>
      </c>
      <c r="E74" s="33" t="s">
        <v>1201</v>
      </c>
      <c r="F74" s="37" t="s">
        <v>1202</v>
      </c>
    </row>
  </sheetData>
  <mergeCells count="30">
    <mergeCell ref="A2:A10"/>
    <mergeCell ref="B2:B3"/>
    <mergeCell ref="B4:B5"/>
    <mergeCell ref="B6:B7"/>
    <mergeCell ref="A11:A16"/>
    <mergeCell ref="B11:B12"/>
    <mergeCell ref="B13:B15"/>
    <mergeCell ref="A17:A27"/>
    <mergeCell ref="B19:B20"/>
    <mergeCell ref="B21:B24"/>
    <mergeCell ref="B26:B27"/>
    <mergeCell ref="A28:A33"/>
    <mergeCell ref="B28:B29"/>
    <mergeCell ref="B31:B33"/>
    <mergeCell ref="A34:A46"/>
    <mergeCell ref="B34:B36"/>
    <mergeCell ref="B40:B43"/>
    <mergeCell ref="B44:B46"/>
    <mergeCell ref="A47:A52"/>
    <mergeCell ref="B48:B50"/>
    <mergeCell ref="B51:B52"/>
    <mergeCell ref="A53:A56"/>
    <mergeCell ref="B53:B55"/>
    <mergeCell ref="A57:A60"/>
    <mergeCell ref="A61:A65"/>
    <mergeCell ref="B61:B62"/>
    <mergeCell ref="A66:A67"/>
    <mergeCell ref="A68:A74"/>
    <mergeCell ref="B68:B70"/>
    <mergeCell ref="B71:B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2026-08-21T07:47:05Z</dcterms:created>
  <dc:creator>openpyxl</dc:creator>
  <dc:description/>
  <dc:language>en-US</dc:language>
  <cp:lastModifiedBy/>
  <dcterms:modified xsi:type="dcterms:W3CDTF">2026-08-21T07:47:05Z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